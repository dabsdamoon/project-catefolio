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국민" sheetId="1" r:id="rId4"/>
    <sheet state="visible" name="총괄" sheetId="2" r:id="rId5"/>
    <sheet state="visible" name="Sheet3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======
ID#AAABxQOu1CE
정은우    (2025-12-09 02:21:08)
원장님 개인사용</t>
      </text>
    </comment>
    <comment authorId="0" ref="S7">
      <text>
        <t xml:space="preserve">======
ID#AAABxkIRdDM
정은우    (2025-12-16 03:31:15)
확인해야함_ 여신금융협회</t>
      </text>
    </comment>
    <comment authorId="0" ref="H11">
      <text>
        <t xml:space="preserve">50381 SARA 아기비용
======</t>
      </text>
    </comment>
    <comment authorId="0" ref="S14">
      <text>
        <t xml:space="preserve">진료내역서 출력_써니
======</t>
      </text>
    </comment>
    <comment authorId="0" ref="P22">
      <text>
        <t xml:space="preserve">유방촬영의뢰비
======</t>
      </text>
    </comment>
    <comment authorId="0" ref="S22">
      <text>
        <t xml:space="preserve">근로소득세
======</t>
      </text>
    </comment>
    <comment authorId="0" ref="X22">
      <text>
        <t xml:space="preserve">신분증_ 원천세신고
======</t>
      </text>
    </comment>
    <comment authorId="0" ref="BD22">
      <text>
        <t xml:space="preserve">한국전화안내 연장?
======</t>
      </text>
    </comment>
    <comment authorId="0" ref="S23">
      <text>
        <t xml:space="preserve">사업소득세
======</t>
      </text>
    </comment>
    <comment authorId="0" ref="AE23">
      <text>
        <t xml:space="preserve">매출신고
======</t>
      </text>
    </comment>
    <comment authorId="0" ref="H24">
      <text>
        <t xml:space="preserve">정리업체
======</t>
      </text>
    </comment>
    <comment authorId="0" ref="S24">
      <text>
        <t xml:space="preserve">지방소득세
======</t>
      </text>
    </comment>
    <comment authorId="0" ref="BD24">
      <text>
        <t xml:space="preserve">242두6349 자동차세
======</t>
      </text>
    </comment>
    <comment authorId="0" ref="H25">
      <text>
        <t xml:space="preserve">현금영수증
사진촬영
======</t>
      </text>
    </comment>
    <comment authorId="0" ref="S26">
      <text>
        <t xml:space="preserve">센터 보일러 수리비
======</t>
      </text>
    </comment>
    <comment authorId="0" ref="U26">
      <text>
        <t xml:space="preserve">현금영수증 확인
======</t>
      </text>
    </comment>
    <comment authorId="0" ref="W26">
      <text>
        <t xml:space="preserve">현금영수증 확인
======</t>
      </text>
    </comment>
    <comment authorId="0" ref="AA26">
      <text>
        <t xml:space="preserve">현금영수증
======</t>
      </text>
    </comment>
    <comment authorId="0" ref="L29">
      <text>
        <t xml:space="preserve">신분증_원천세
**12월 1일부터 정규근로자
======</t>
      </text>
    </comment>
    <comment authorId="0" ref="BH36">
      <text>
        <t xml:space="preserve">상지인테리어 반환
======</t>
      </text>
    </comment>
  </commentList>
</comments>
</file>

<file path=xl/sharedStrings.xml><?xml version="1.0" encoding="utf-8"?>
<sst xmlns="http://schemas.openxmlformats.org/spreadsheetml/2006/main" count="512" uniqueCount="182">
  <si>
    <t>날짜</t>
  </si>
  <si>
    <t>잔액</t>
  </si>
  <si>
    <t>입금</t>
  </si>
  <si>
    <t>KB34245010</t>
  </si>
  <si>
    <t>Maia</t>
  </si>
  <si>
    <t>카카오페이</t>
  </si>
  <si>
    <t>1/HEALIXINTERNATIONALLTD-FCO(61</t>
  </si>
  <si>
    <t>BC-746948320</t>
  </si>
  <si>
    <t>카카오페이_개인사용</t>
  </si>
  <si>
    <t>이자세금:18,130원</t>
  </si>
  <si>
    <t>국민건강채권</t>
  </si>
  <si>
    <t>CIGNAHEALTHANDLIFEINSURANCEC</t>
  </si>
  <si>
    <t>하나93117154</t>
  </si>
  <si>
    <t>Ramya_진료비</t>
  </si>
  <si>
    <t>신한86180874</t>
  </si>
  <si>
    <t>현103873463</t>
  </si>
  <si>
    <t>KUHN　AMY　C</t>
  </si>
  <si>
    <t>이소희</t>
  </si>
  <si>
    <t>디에나_포경수술예약금</t>
  </si>
  <si>
    <t>롯데카드36200</t>
  </si>
  <si>
    <t>서울페이가맹</t>
  </si>
  <si>
    <t>HENNER환불</t>
  </si>
  <si>
    <t>하나_KRYSTAL 출산비</t>
  </si>
  <si>
    <t>CIGNALIFEINSURANCEOFEUROPENV</t>
  </si>
  <si>
    <t>NH12744093</t>
  </si>
  <si>
    <t>GEOBLUE</t>
  </si>
  <si>
    <t>삼성10826832</t>
  </si>
  <si>
    <t>수지구보건행정과</t>
  </si>
  <si>
    <t>의료급여채권</t>
  </si>
  <si>
    <t>1/UNITEDHE</t>
  </si>
  <si>
    <t>삼성_KRYSTAL 출산비</t>
  </si>
  <si>
    <t>CIGNAEUINSURANCECOMPANYZURICH</t>
  </si>
  <si>
    <t>COVENTRY　H</t>
  </si>
  <si>
    <t>katheri</t>
  </si>
  <si>
    <t>REIDBREALA</t>
  </si>
  <si>
    <t>서울강서구보건소보건</t>
  </si>
  <si>
    <t>TSS　ADMINI</t>
  </si>
  <si>
    <t>YOOHOLL</t>
  </si>
  <si>
    <t>CIGNAINTLHEALTHSERVICESBVBA</t>
  </si>
  <si>
    <t>부천시보건소</t>
  </si>
  <si>
    <t>한도미사용수수료</t>
  </si>
  <si>
    <t>1/CIGNA　HE</t>
  </si>
  <si>
    <t>1/BUPA　INS</t>
  </si>
  <si>
    <t>대전동구보건소(건강</t>
  </si>
  <si>
    <t>BLUECROSSBLUESHIELD_SARA 아기비용</t>
  </si>
  <si>
    <t>분당보건감염병관리센</t>
  </si>
  <si>
    <t>AETNAINC</t>
  </si>
  <si>
    <t>WISCONSIN</t>
  </si>
  <si>
    <t>서재석</t>
  </si>
  <si>
    <t>1/CIGNA　EU</t>
  </si>
  <si>
    <t>서초구임신부인플시행</t>
  </si>
  <si>
    <t>서초구B형주산기감염</t>
  </si>
  <si>
    <t>강남보건소예방접종</t>
  </si>
  <si>
    <t>김보선</t>
  </si>
  <si>
    <t>BENEDICTL</t>
  </si>
  <si>
    <t>삼성_SUN(51101) 출산비</t>
  </si>
  <si>
    <t>양평보건정책과</t>
  </si>
  <si>
    <t>TSS_JOANNE(50694)_출산비</t>
  </si>
  <si>
    <t>지출</t>
  </si>
  <si>
    <t>Npay_체온계</t>
  </si>
  <si>
    <t>(주)해피사</t>
  </si>
  <si>
    <t>삼성화andrear</t>
  </si>
  <si>
    <t>11월 직원급여</t>
  </si>
  <si>
    <t>최선형</t>
  </si>
  <si>
    <t>국세-호움산부인</t>
  </si>
  <si>
    <t>２５１１산재보험</t>
  </si>
  <si>
    <t>기은재_산모통역비용</t>
  </si>
  <si>
    <t>(주)갓피플_직원선물</t>
  </si>
  <si>
    <t>이자세금:9,920원</t>
  </si>
  <si>
    <t>KB카드출금</t>
  </si>
  <si>
    <t>현금인출</t>
  </si>
  <si>
    <t>205707**86　　　,2512-120회차</t>
  </si>
  <si>
    <t>주식회사디어아이앤디</t>
  </si>
  <si>
    <t>김태진 교수님_빙부금</t>
  </si>
  <si>
    <t>정환욱</t>
  </si>
  <si>
    <t>쿠팡와우월회비</t>
  </si>
  <si>
    <t>대한적십자사혈액관리</t>
  </si>
  <si>
    <t>주식회사　한국전화안</t>
  </si>
  <si>
    <t>조대석(대성의료종합</t>
  </si>
  <si>
    <t>(주)이지엠인터내셔_청진기</t>
  </si>
  <si>
    <t>주식회사　굿유</t>
  </si>
  <si>
    <t>박길순</t>
  </si>
  <si>
    <t>２５１１고용보험</t>
  </si>
  <si>
    <t>김송환(송헬스케어)_골밀도기기 판매</t>
  </si>
  <si>
    <t>ChunNeungIT</t>
  </si>
  <si>
    <t>KT7261900112</t>
  </si>
  <si>
    <t>코원에너지서비스</t>
  </si>
  <si>
    <t>한국방사선의학재단</t>
  </si>
  <si>
    <t>강명자(롯데캐슬메디</t>
  </si>
  <si>
    <t>백이임(세영프라임)</t>
  </si>
  <si>
    <t>이옥주</t>
  </si>
  <si>
    <t>HEWSONKARE(카렌_둘라)</t>
  </si>
  <si>
    <t>서울특징정환욱</t>
  </si>
  <si>
    <t>２５１１국민연금</t>
  </si>
  <si>
    <t>코웨이렌탈12</t>
  </si>
  <si>
    <t>신용보증기금</t>
  </si>
  <si>
    <t>KT통신요금12</t>
  </si>
  <si>
    <t>서울자동정환욱</t>
  </si>
  <si>
    <t>서초롯데캐슬메디치</t>
  </si>
  <si>
    <t>(주)에스씨메딕스</t>
  </si>
  <si>
    <t>김지섭(놂)</t>
  </si>
  <si>
    <t>LLOYDPAIGE(페이지_둘라)</t>
  </si>
  <si>
    <t>충일사한성자동차</t>
  </si>
  <si>
    <t>２５１１국민건강</t>
  </si>
  <si>
    <t>(주)해피사_유니폼</t>
  </si>
  <si>
    <t>김종열(조이플카페</t>
  </si>
  <si>
    <t>KT6925624412</t>
  </si>
  <si>
    <t>(주)롯데캐슬메디치</t>
  </si>
  <si>
    <t>노무법인벽성</t>
  </si>
  <si>
    <t>이정원</t>
  </si>
  <si>
    <t>김성현(보일러코리아</t>
  </si>
  <si>
    <t>(주)신세계_특실커피머신</t>
  </si>
  <si>
    <t>(주)신세계</t>
  </si>
  <si>
    <t>KT8988722412</t>
  </si>
  <si>
    <t>KT8856845412</t>
  </si>
  <si>
    <t>주식회사비씨아이코리</t>
  </si>
  <si>
    <t>태성회계법인</t>
  </si>
  <si>
    <t>ZIGANTE　LI(리디아)</t>
  </si>
  <si>
    <t>ＳＫＴ９３４４</t>
  </si>
  <si>
    <t>&lt;재&gt;서울의과학연구</t>
  </si>
  <si>
    <t>임복규(문화그린)</t>
  </si>
  <si>
    <t>조진호_백여사님</t>
  </si>
  <si>
    <t>KT0595226612</t>
  </si>
  <si>
    <t>KT0548940912</t>
  </si>
  <si>
    <t>유니메디</t>
  </si>
  <si>
    <t>(주)메디엔비즈</t>
  </si>
  <si>
    <t>PIAO　CHUNY_박춘월여사님</t>
  </si>
  <si>
    <t>Ｓ１（Ｎ５３７３</t>
  </si>
  <si>
    <t>캐드임팩트</t>
  </si>
  <si>
    <t>(의료)이원의료재단</t>
  </si>
  <si>
    <t>통인웨어하우스컴퍼니</t>
  </si>
  <si>
    <t>유영현</t>
  </si>
  <si>
    <t>현대카드대금</t>
  </si>
  <si>
    <t>조경주:청운약품</t>
  </si>
  <si>
    <t>세스코</t>
  </si>
  <si>
    <t>VITALEADEL(아델_교육비)</t>
  </si>
  <si>
    <t>벤츠파이낸셜</t>
  </si>
  <si>
    <t>광동제약(주)</t>
  </si>
  <si>
    <t>(주)모유사</t>
  </si>
  <si>
    <t>김순화</t>
  </si>
  <si>
    <t>(주)보령바이오파마</t>
  </si>
  <si>
    <t>일동후디스(주)</t>
  </si>
  <si>
    <t>박성근(리버스피플)</t>
  </si>
  <si>
    <t>(주)도원의료관리</t>
  </si>
  <si>
    <t>국세-정환욱</t>
  </si>
  <si>
    <t>VITALEADEL(아델_교통비)</t>
  </si>
  <si>
    <t>휴모스트　녹원　주식</t>
  </si>
  <si>
    <t>주인숙</t>
  </si>
  <si>
    <t>(주)유한메디켐</t>
  </si>
  <si>
    <t>퇴직예약출금</t>
  </si>
  <si>
    <t>이형민(모임통장)_방향제</t>
  </si>
  <si>
    <t>정환욱_개인사용반환</t>
  </si>
  <si>
    <t>삼성화12013</t>
  </si>
  <si>
    <t>비고</t>
  </si>
  <si>
    <t>2015.11.02</t>
  </si>
  <si>
    <t>2015.11.03</t>
  </si>
  <si>
    <t>2015.11.04</t>
  </si>
  <si>
    <t>2015.11.05</t>
  </si>
  <si>
    <t>2015.11.06</t>
  </si>
  <si>
    <t>2015.11.09</t>
  </si>
  <si>
    <t>2015.11.10</t>
  </si>
  <si>
    <t>2015.11.11</t>
  </si>
  <si>
    <t>2015.11.12</t>
  </si>
  <si>
    <t>2015.11.13</t>
  </si>
  <si>
    <t>2015.11.16</t>
  </si>
  <si>
    <t>2015.11.17</t>
  </si>
  <si>
    <t>2015.11.18</t>
  </si>
  <si>
    <t>2015.11.19</t>
  </si>
  <si>
    <t>2015.11.20</t>
  </si>
  <si>
    <t>2015.11.23</t>
  </si>
  <si>
    <t>2015.11.24</t>
  </si>
  <si>
    <t>2015.11.25</t>
  </si>
  <si>
    <t>2015.11.26</t>
  </si>
  <si>
    <t>2015.11.27</t>
  </si>
  <si>
    <t>2015.11.30</t>
  </si>
  <si>
    <t>하나은행</t>
  </si>
  <si>
    <t>국민은행</t>
  </si>
  <si>
    <t>입금 합계</t>
  </si>
  <si>
    <t>지급계좌로 이체</t>
  </si>
  <si>
    <t>입금계좌에서 이체</t>
  </si>
  <si>
    <t xml:space="preserve">국민은행 </t>
  </si>
  <si>
    <t>총액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</si>
</sst>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_-* #,##0_-;\-* #,##0_-;_-* &quot;-&quot;_-;_-@"/>
  </numFmts>
  <fonts count="7">
    <font>
      <sz val="11.0"/>
      <color theme="1"/>
      <name val="Calibri"/>
      <scheme val="minor"/>
    </font>
    <font>
      <b/>
      <sz val="12.0"/>
      <color theme="1"/>
      <name val="Malgun Gothic"/>
    </font>
    <font/>
    <font>
      <sz val="11.0"/>
      <color theme="1"/>
      <name val="Malgun Gothic"/>
    </font>
    <font>
      <b/>
      <sz val="14.0"/>
      <color rgb="FF974806"/>
      <name val="Malgun Gothic"/>
    </font>
    <font>
      <sz val="11.0"/>
      <color theme="1"/>
      <name val="Calibri"/>
    </font>
    <font>
      <b/>
      <sz val="11.0"/>
      <color theme="1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4CCCC"/>
        <bgColor rgb="FFF4CCCC"/>
      </patternFill>
    </fill>
    <fill>
      <patternFill patternType="solid">
        <fgColor rgb="FFB6DDE8"/>
        <bgColor rgb="FFB6DDE8"/>
      </patternFill>
    </fill>
    <fill>
      <patternFill patternType="solid">
        <fgColor rgb="FFC6D9F0"/>
        <bgColor rgb="FFC6D9F0"/>
      </patternFill>
    </fill>
  </fills>
  <borders count="23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3" fontId="1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3" fontId="3" numFmtId="165" xfId="0" applyAlignment="1" applyBorder="1" applyFont="1" applyNumberFormat="1">
      <alignment horizontal="center" vertical="center"/>
    </xf>
    <xf borderId="6" fillId="3" fontId="3" numFmtId="165" xfId="0" applyAlignment="1" applyBorder="1" applyFont="1" applyNumberFormat="1">
      <alignment horizontal="center" vertical="center"/>
    </xf>
    <xf borderId="8" fillId="3" fontId="3" numFmtId="165" xfId="0" applyAlignment="1" applyBorder="1" applyFont="1" applyNumberFormat="1">
      <alignment horizontal="center" vertical="center"/>
    </xf>
    <xf borderId="9" fillId="3" fontId="3" numFmtId="165" xfId="0" applyAlignment="1" applyBorder="1" applyFont="1" applyNumberFormat="1">
      <alignment horizontal="center" vertical="center"/>
    </xf>
    <xf borderId="10" fillId="4" fontId="4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3" numFmtId="165" xfId="0" applyAlignment="1" applyBorder="1" applyFont="1" applyNumberFormat="1">
      <alignment vertical="center"/>
    </xf>
    <xf borderId="11" fillId="0" fontId="3" numFmtId="165" xfId="0" applyAlignment="1" applyBorder="1" applyFont="1" applyNumberFormat="1">
      <alignment vertical="center"/>
    </xf>
    <xf borderId="6" fillId="5" fontId="3" numFmtId="0" xfId="0" applyAlignment="1" applyBorder="1" applyFill="1" applyFont="1">
      <alignment vertical="center"/>
    </xf>
    <xf borderId="11" fillId="5" fontId="3" numFmtId="165" xfId="0" applyAlignment="1" applyBorder="1" applyFont="1" applyNumberFormat="1">
      <alignment vertical="center"/>
    </xf>
    <xf borderId="6" fillId="6" fontId="3" numFmtId="0" xfId="0" applyAlignment="1" applyBorder="1" applyFill="1" applyFont="1">
      <alignment vertical="center"/>
    </xf>
    <xf borderId="11" fillId="6" fontId="3" numFmtId="165" xfId="0" applyAlignment="1" applyBorder="1" applyFont="1" applyNumberFormat="1">
      <alignment vertical="center"/>
    </xf>
    <xf borderId="12" fillId="0" fontId="2" numFmtId="0" xfId="0" applyAlignment="1" applyBorder="1" applyFont="1">
      <alignment vertical="center"/>
    </xf>
    <xf borderId="7" fillId="6" fontId="3" numFmtId="165" xfId="0" applyAlignment="1" applyBorder="1" applyFont="1" applyNumberFormat="1">
      <alignment vertical="center"/>
    </xf>
    <xf borderId="6" fillId="7" fontId="3" numFmtId="0" xfId="0" applyAlignment="1" applyBorder="1" applyFill="1" applyFont="1">
      <alignment vertical="center"/>
    </xf>
    <xf borderId="11" fillId="8" fontId="3" numFmtId="165" xfId="0" applyAlignment="1" applyBorder="1" applyFill="1" applyFont="1" applyNumberFormat="1">
      <alignment vertical="center"/>
    </xf>
    <xf borderId="6" fillId="9" fontId="3" numFmtId="0" xfId="0" applyAlignment="1" applyBorder="1" applyFill="1" applyFont="1">
      <alignment vertical="center"/>
    </xf>
    <xf borderId="11" fillId="9" fontId="3" numFmtId="165" xfId="0" applyAlignment="1" applyBorder="1" applyFont="1" applyNumberFormat="1">
      <alignment vertical="center"/>
    </xf>
    <xf borderId="11" fillId="7" fontId="3" numFmtId="165" xfId="0" applyAlignment="1" applyBorder="1" applyFont="1" applyNumberFormat="1">
      <alignment vertical="center"/>
    </xf>
    <xf borderId="7" fillId="7" fontId="3" numFmtId="165" xfId="0" applyAlignment="1" applyBorder="1" applyFont="1" applyNumberFormat="1">
      <alignment vertical="center"/>
    </xf>
    <xf borderId="6" fillId="10" fontId="3" numFmtId="0" xfId="0" applyAlignment="1" applyBorder="1" applyFill="1" applyFont="1">
      <alignment vertical="center"/>
    </xf>
    <xf borderId="7" fillId="10" fontId="3" numFmtId="165" xfId="0" applyAlignment="1" applyBorder="1" applyFont="1" applyNumberFormat="1">
      <alignment vertical="center"/>
    </xf>
    <xf borderId="8" fillId="10" fontId="3" numFmtId="165" xfId="0" applyAlignment="1" applyBorder="1" applyFont="1" applyNumberFormat="1">
      <alignment vertical="center"/>
    </xf>
    <xf borderId="13" fillId="0" fontId="3" numFmtId="0" xfId="0" applyAlignment="1" applyBorder="1" applyFont="1">
      <alignment vertical="center"/>
    </xf>
    <xf borderId="13" fillId="6" fontId="3" numFmtId="0" xfId="0" applyAlignment="1" applyBorder="1" applyFont="1">
      <alignment vertical="center"/>
    </xf>
    <xf borderId="14" fillId="6" fontId="3" numFmtId="0" xfId="0" applyAlignment="1" applyBorder="1" applyFont="1">
      <alignment vertical="center"/>
    </xf>
    <xf borderId="7" fillId="9" fontId="3" numFmtId="165" xfId="0" applyAlignment="1" applyBorder="1" applyFont="1" applyNumberFormat="1">
      <alignment vertical="center"/>
    </xf>
    <xf borderId="7" fillId="4" fontId="3" numFmtId="165" xfId="0" applyAlignment="1" applyBorder="1" applyFont="1" applyNumberFormat="1">
      <alignment horizontal="right" vertical="center"/>
    </xf>
    <xf borderId="6" fillId="11" fontId="5" numFmtId="0" xfId="0" applyAlignment="1" applyBorder="1" applyFill="1" applyFont="1">
      <alignment vertical="center"/>
    </xf>
    <xf borderId="7" fillId="11" fontId="5" numFmtId="165" xfId="0" applyAlignment="1" applyBorder="1" applyFont="1" applyNumberFormat="1">
      <alignment vertical="center"/>
    </xf>
    <xf borderId="15" fillId="0" fontId="2" numFmtId="0" xfId="0" applyAlignment="1" applyBorder="1" applyFont="1">
      <alignment vertical="center"/>
    </xf>
    <xf borderId="16" fillId="12" fontId="3" numFmtId="165" xfId="0" applyAlignment="1" applyBorder="1" applyFill="1" applyFont="1" applyNumberFormat="1">
      <alignment horizontal="right" vertical="center"/>
    </xf>
    <xf borderId="0" fillId="0" fontId="3" numFmtId="165" xfId="0" applyAlignment="1" applyFont="1" applyNumberFormat="1">
      <alignment vertical="center"/>
    </xf>
    <xf borderId="17" fillId="13" fontId="4" numFmtId="0" xfId="0" applyAlignment="1" applyBorder="1" applyFill="1" applyFont="1">
      <alignment horizontal="center" vertical="center"/>
    </xf>
    <xf borderId="18" fillId="0" fontId="3" numFmtId="0" xfId="0" applyAlignment="1" applyBorder="1" applyFont="1">
      <alignment vertical="center"/>
    </xf>
    <xf borderId="19" fillId="0" fontId="3" numFmtId="165" xfId="0" applyAlignment="1" applyBorder="1" applyFont="1" applyNumberFormat="1">
      <alignment vertical="center"/>
    </xf>
    <xf borderId="18" fillId="0" fontId="3" numFmtId="165" xfId="0" applyAlignment="1" applyBorder="1" applyFont="1" applyNumberFormat="1">
      <alignment vertical="center"/>
    </xf>
    <xf borderId="20" fillId="0" fontId="3" numFmtId="165" xfId="0" applyAlignment="1" applyBorder="1" applyFont="1" applyNumberFormat="1">
      <alignment vertical="center"/>
    </xf>
    <xf borderId="6" fillId="11" fontId="3" numFmtId="0" xfId="0" applyAlignment="1" applyBorder="1" applyFont="1">
      <alignment vertical="center"/>
    </xf>
    <xf borderId="7" fillId="11" fontId="3" numFmtId="165" xfId="0" applyAlignment="1" applyBorder="1" applyFont="1" applyNumberFormat="1">
      <alignment vertical="center"/>
    </xf>
    <xf borderId="6" fillId="11" fontId="3" numFmtId="165" xfId="0" applyAlignment="1" applyBorder="1" applyFont="1" applyNumberFormat="1">
      <alignment vertical="center"/>
    </xf>
    <xf borderId="6" fillId="5" fontId="3" numFmtId="165" xfId="0" applyAlignment="1" applyBorder="1" applyFont="1" applyNumberFormat="1">
      <alignment vertical="center"/>
    </xf>
    <xf borderId="7" fillId="5" fontId="3" numFmtId="165" xfId="0" applyAlignment="1" applyBorder="1" applyFont="1" applyNumberFormat="1">
      <alignment vertical="center"/>
    </xf>
    <xf borderId="6" fillId="10" fontId="3" numFmtId="165" xfId="0" applyAlignment="1" applyBorder="1" applyFont="1" applyNumberFormat="1">
      <alignment vertical="center"/>
    </xf>
    <xf borderId="8" fillId="5" fontId="3" numFmtId="165" xfId="0" applyAlignment="1" applyBorder="1" applyFont="1" applyNumberFormat="1">
      <alignment vertical="center"/>
    </xf>
    <xf borderId="6" fillId="0" fontId="3" numFmtId="165" xfId="0" applyAlignment="1" applyBorder="1" applyFont="1" applyNumberFormat="1">
      <alignment vertical="center"/>
    </xf>
    <xf borderId="6" fillId="14" fontId="3" numFmtId="165" xfId="0" applyAlignment="1" applyBorder="1" applyFill="1" applyFont="1" applyNumberFormat="1">
      <alignment vertical="center"/>
    </xf>
    <xf borderId="8" fillId="14" fontId="3" numFmtId="165" xfId="0" applyAlignment="1" applyBorder="1" applyFont="1" applyNumberFormat="1">
      <alignment vertical="center"/>
    </xf>
    <xf borderId="6" fillId="7" fontId="3" numFmtId="165" xfId="0" applyAlignment="1" applyBorder="1" applyFont="1" applyNumberFormat="1">
      <alignment vertical="center"/>
    </xf>
    <xf borderId="8" fillId="7" fontId="3" numFmtId="165" xfId="0" applyAlignment="1" applyBorder="1" applyFont="1" applyNumberFormat="1">
      <alignment vertical="center"/>
    </xf>
    <xf borderId="6" fillId="8" fontId="3" numFmtId="165" xfId="0" applyAlignment="1" applyBorder="1" applyFont="1" applyNumberFormat="1">
      <alignment vertical="center"/>
    </xf>
    <xf borderId="7" fillId="8" fontId="3" numFmtId="165" xfId="0" applyAlignment="1" applyBorder="1" applyFont="1" applyNumberFormat="1">
      <alignment vertical="center"/>
    </xf>
    <xf borderId="6" fillId="15" fontId="3" numFmtId="0" xfId="0" applyAlignment="1" applyBorder="1" applyFill="1" applyFont="1">
      <alignment vertical="center"/>
    </xf>
    <xf borderId="7" fillId="15" fontId="3" numFmtId="165" xfId="0" applyAlignment="1" applyBorder="1" applyFont="1" applyNumberFormat="1">
      <alignment vertical="center"/>
    </xf>
    <xf borderId="21" fillId="16" fontId="3" numFmtId="0" xfId="0" applyAlignment="1" applyBorder="1" applyFill="1" applyFont="1">
      <alignment vertical="center"/>
    </xf>
    <xf borderId="16" fillId="16" fontId="3" numFmtId="165" xfId="0" applyAlignment="1" applyBorder="1" applyFont="1" applyNumberFormat="1">
      <alignment vertical="center"/>
    </xf>
    <xf borderId="17" fillId="0" fontId="3" numFmtId="0" xfId="0" applyAlignment="1" applyBorder="1" applyFont="1">
      <alignment horizontal="center" vertical="center"/>
    </xf>
    <xf borderId="18" fillId="10" fontId="3" numFmtId="165" xfId="0" applyAlignment="1" applyBorder="1" applyFont="1" applyNumberFormat="1">
      <alignment vertical="center"/>
    </xf>
    <xf borderId="19" fillId="10" fontId="3" numFmtId="165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16" fillId="0" fontId="3" numFmtId="165" xfId="0" applyAlignment="1" applyBorder="1" applyFont="1" applyNumberFormat="1">
      <alignment vertical="center"/>
    </xf>
    <xf borderId="21" fillId="10" fontId="3" numFmtId="165" xfId="0" applyAlignment="1" applyBorder="1" applyFont="1" applyNumberFormat="1">
      <alignment vertical="center"/>
    </xf>
    <xf borderId="16" fillId="10" fontId="3" numFmtId="165" xfId="0" applyAlignment="1" applyBorder="1" applyFont="1" applyNumberFormat="1">
      <alignment vertical="center"/>
    </xf>
    <xf borderId="21" fillId="0" fontId="3" numFmtId="165" xfId="0" applyAlignment="1" applyBorder="1" applyFont="1" applyNumberFormat="1">
      <alignment vertical="center"/>
    </xf>
    <xf borderId="22" fillId="0" fontId="3" numFmtId="165" xfId="0" applyAlignment="1" applyBorder="1" applyFont="1" applyNumberFormat="1">
      <alignment vertical="center"/>
    </xf>
    <xf borderId="6" fillId="4" fontId="3" numFmtId="0" xfId="0" applyAlignment="1" applyBorder="1" applyFont="1">
      <alignment vertical="center"/>
    </xf>
    <xf borderId="7" fillId="4" fontId="3" numFmtId="165" xfId="0" applyAlignment="1" applyBorder="1" applyFont="1" applyNumberFormat="1">
      <alignment vertical="center"/>
    </xf>
    <xf borderId="21" fillId="12" fontId="3" numFmtId="0" xfId="0" applyAlignment="1" applyBorder="1" applyFont="1">
      <alignment vertical="center"/>
    </xf>
    <xf borderId="16" fillId="12" fontId="3" numFmtId="165" xfId="0" applyAlignment="1" applyBorder="1" applyFont="1" applyNumberFormat="1">
      <alignment vertical="center"/>
    </xf>
    <xf borderId="14" fillId="3" fontId="6" numFmtId="0" xfId="0" applyAlignment="1" applyBorder="1" applyFont="1">
      <alignment horizontal="center" vertical="center"/>
    </xf>
    <xf borderId="14" fillId="3" fontId="6" numFmtId="0" xfId="0" applyAlignment="1" applyBorder="1" applyFont="1">
      <alignment vertical="center"/>
    </xf>
    <xf borderId="14" fillId="3" fontId="6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11.57"/>
    <col customWidth="1" min="4" max="4" width="19.14"/>
    <col customWidth="1" min="5" max="5" width="12.57"/>
    <col customWidth="1" min="6" max="6" width="22.29"/>
    <col customWidth="1" min="7" max="7" width="12.57"/>
    <col customWidth="1" min="8" max="8" width="17.57"/>
    <col customWidth="1" min="9" max="9" width="12.57"/>
    <col customWidth="1" min="10" max="10" width="18.86"/>
    <col customWidth="1" min="11" max="11" width="12.57"/>
    <col customWidth="1" min="12" max="12" width="25.29"/>
    <col customWidth="1" min="13" max="13" width="12.57"/>
    <col customWidth="1" min="14" max="14" width="18.86"/>
    <col customWidth="1" min="15" max="15" width="12.57"/>
    <col customWidth="1" min="16" max="16" width="17.57"/>
    <col customWidth="1" min="17" max="17" width="12.57"/>
    <col customWidth="1" min="18" max="18" width="18.86"/>
    <col customWidth="1" min="19" max="19" width="12.57"/>
    <col customWidth="1" min="20" max="20" width="17.57"/>
    <col customWidth="1" min="21" max="21" width="12.57"/>
    <col customWidth="1" min="22" max="22" width="20.57"/>
    <col customWidth="1" min="23" max="23" width="12.57"/>
    <col customWidth="1" min="24" max="24" width="17.57"/>
    <col customWidth="1" min="25" max="25" width="12.57"/>
    <col customWidth="1" min="26" max="26" width="17.57"/>
    <col customWidth="1" min="27" max="27" width="12.57"/>
    <col customWidth="1" min="28" max="28" width="17.57"/>
    <col customWidth="1" min="29" max="29" width="12.57"/>
    <col customWidth="1" min="30" max="30" width="17.57"/>
    <col customWidth="1" min="31" max="31" width="12.57"/>
    <col customWidth="1" min="32" max="32" width="21.57"/>
    <col customWidth="1" min="33" max="33" width="12.57"/>
    <col customWidth="1" min="34" max="34" width="17.57"/>
    <col customWidth="1" min="35" max="35" width="12.57"/>
    <col customWidth="1" min="36" max="36" width="17.57"/>
    <col customWidth="1" min="37" max="37" width="12.57"/>
    <col customWidth="1" min="38" max="38" width="17.57"/>
    <col customWidth="1" min="39" max="39" width="12.57"/>
    <col customWidth="1" min="40" max="40" width="17.57"/>
    <col customWidth="1" min="41" max="41" width="12.57"/>
    <col customWidth="1" min="42" max="42" width="17.57"/>
    <col customWidth="1" min="43" max="43" width="12.57"/>
    <col customWidth="1" min="44" max="44" width="17.57"/>
    <col customWidth="1" min="45" max="45" width="12.57"/>
    <col customWidth="1" min="46" max="46" width="17.57"/>
    <col customWidth="1" min="47" max="47" width="12.57"/>
    <col customWidth="1" min="48" max="48" width="17.57"/>
    <col customWidth="1" min="49" max="61" width="12.57"/>
  </cols>
  <sheetData>
    <row r="1" ht="16.5" customHeight="1"/>
    <row r="2" ht="16.5" customHeight="1">
      <c r="A2" s="1" t="s">
        <v>0</v>
      </c>
      <c r="B2" s="2">
        <v>45992.0</v>
      </c>
      <c r="C2" s="3"/>
      <c r="D2" s="2">
        <v>45993.0</v>
      </c>
      <c r="E2" s="3"/>
      <c r="F2" s="2">
        <v>45993.0</v>
      </c>
      <c r="G2" s="4"/>
      <c r="H2" s="2">
        <v>45994.0</v>
      </c>
      <c r="I2" s="4"/>
      <c r="J2" s="2">
        <v>45995.0</v>
      </c>
      <c r="K2" s="4"/>
      <c r="L2" s="2">
        <v>45996.0</v>
      </c>
      <c r="M2" s="4"/>
      <c r="N2" s="2">
        <v>45997.0</v>
      </c>
      <c r="O2" s="4"/>
      <c r="P2" s="2">
        <v>45999.0</v>
      </c>
      <c r="Q2" s="4"/>
      <c r="R2" s="2">
        <v>46000.0</v>
      </c>
      <c r="S2" s="4"/>
      <c r="T2" s="2">
        <v>46000.0</v>
      </c>
      <c r="U2" s="4"/>
      <c r="V2" s="2">
        <v>46001.0</v>
      </c>
      <c r="W2" s="4"/>
      <c r="X2" s="2">
        <v>46002.0</v>
      </c>
      <c r="Y2" s="4"/>
      <c r="Z2" s="2">
        <v>46003.0</v>
      </c>
      <c r="AA2" s="4"/>
      <c r="AB2" s="2">
        <v>46003.0</v>
      </c>
      <c r="AC2" s="4"/>
      <c r="AD2" s="2">
        <v>46004.0</v>
      </c>
      <c r="AE2" s="3"/>
      <c r="AF2" s="2">
        <v>46006.0</v>
      </c>
      <c r="AG2" s="3"/>
      <c r="AH2" s="2">
        <v>46007.0</v>
      </c>
      <c r="AI2" s="3"/>
      <c r="AJ2" s="2">
        <v>46008.0</v>
      </c>
      <c r="AK2" s="3"/>
      <c r="AL2" s="2">
        <v>46009.0</v>
      </c>
      <c r="AM2" s="3"/>
      <c r="AN2" s="2">
        <v>46010.0</v>
      </c>
      <c r="AO2" s="3"/>
      <c r="AP2" s="2">
        <v>46013.0</v>
      </c>
      <c r="AQ2" s="3"/>
      <c r="AR2" s="2">
        <v>46014.0</v>
      </c>
      <c r="AS2" s="3"/>
      <c r="AT2" s="2">
        <v>46014.0</v>
      </c>
      <c r="AU2" s="3"/>
      <c r="AV2" s="2">
        <v>46015.0</v>
      </c>
      <c r="AW2" s="3"/>
      <c r="AX2" s="2">
        <v>46016.0</v>
      </c>
      <c r="AY2" s="3"/>
      <c r="AZ2" s="2">
        <v>46017.0</v>
      </c>
      <c r="BA2" s="3"/>
      <c r="BB2" s="2">
        <v>46020.0</v>
      </c>
      <c r="BC2" s="3"/>
      <c r="BD2" s="2">
        <v>46021.0</v>
      </c>
      <c r="BE2" s="3"/>
      <c r="BF2" s="2">
        <v>46022.0</v>
      </c>
      <c r="BG2" s="3"/>
      <c r="BH2" s="2">
        <v>46022.0</v>
      </c>
      <c r="BI2" s="3"/>
    </row>
    <row r="3" ht="16.5" customHeight="1">
      <c r="A3" s="5" t="s">
        <v>1</v>
      </c>
      <c r="B3" s="6"/>
      <c r="C3" s="7"/>
      <c r="D3" s="8"/>
      <c r="E3" s="7"/>
      <c r="F3" s="8"/>
      <c r="G3" s="9"/>
      <c r="H3" s="8"/>
      <c r="I3" s="9"/>
      <c r="J3" s="8"/>
      <c r="K3" s="9"/>
      <c r="L3" s="8"/>
      <c r="M3" s="9">
        <v>2.79648042E8</v>
      </c>
      <c r="N3" s="8"/>
      <c r="O3" s="9"/>
      <c r="P3" s="8"/>
      <c r="Q3" s="9"/>
      <c r="R3" s="8"/>
      <c r="S3" s="9">
        <v>2.00672254E8</v>
      </c>
      <c r="T3" s="8"/>
      <c r="U3" s="9">
        <v>2.05758183E8</v>
      </c>
      <c r="V3" s="8"/>
      <c r="W3" s="9">
        <v>2.08856722E8</v>
      </c>
      <c r="X3" s="8"/>
      <c r="Y3" s="9">
        <v>2.15477304E8</v>
      </c>
      <c r="Z3" s="8"/>
      <c r="AA3" s="9">
        <v>2.15601676E8</v>
      </c>
      <c r="AB3" s="8"/>
      <c r="AC3" s="9">
        <v>2.24079713E8</v>
      </c>
      <c r="AD3" s="8"/>
      <c r="AE3" s="7">
        <v>2.24885581E8</v>
      </c>
      <c r="AF3" s="8"/>
      <c r="AG3" s="7">
        <v>2.25075239E8</v>
      </c>
      <c r="AH3" s="8"/>
      <c r="AI3" s="7">
        <v>2.48398609E8</v>
      </c>
      <c r="AJ3" s="8"/>
      <c r="AK3" s="7">
        <v>2.6181842E8</v>
      </c>
      <c r="AL3" s="8"/>
      <c r="AM3" s="7">
        <v>2.68210528E8</v>
      </c>
      <c r="AN3" s="8"/>
      <c r="AO3" s="7">
        <v>2.74317628E8</v>
      </c>
      <c r="AP3" s="10"/>
      <c r="AQ3" s="7">
        <v>3.03899915E8</v>
      </c>
      <c r="AR3" s="8"/>
      <c r="AS3" s="7">
        <v>2.39338092E8</v>
      </c>
      <c r="AT3" s="8"/>
      <c r="AU3" s="7">
        <v>2.43625665E8</v>
      </c>
      <c r="AV3" s="10"/>
      <c r="AW3" s="7">
        <v>3.20002257E8</v>
      </c>
      <c r="AX3" s="10"/>
      <c r="AY3" s="7"/>
      <c r="AZ3" s="10"/>
      <c r="BA3" s="7">
        <v>3.62200008E8</v>
      </c>
      <c r="BB3" s="10"/>
      <c r="BC3" s="7">
        <v>3.7025858E8</v>
      </c>
      <c r="BD3" s="10"/>
      <c r="BE3" s="7">
        <v>3.77941799E8</v>
      </c>
      <c r="BF3" s="10"/>
      <c r="BG3" s="7">
        <v>3.82127132E8</v>
      </c>
      <c r="BH3" s="10"/>
      <c r="BI3" s="7"/>
    </row>
    <row r="4" ht="16.5" customHeight="1">
      <c r="A4" s="11" t="s">
        <v>2</v>
      </c>
      <c r="B4" s="12" t="s">
        <v>3</v>
      </c>
      <c r="C4" s="13">
        <v>305350.0</v>
      </c>
      <c r="D4" s="12" t="s">
        <v>3</v>
      </c>
      <c r="E4" s="13">
        <v>550608.0</v>
      </c>
      <c r="F4" s="12" t="s">
        <v>4</v>
      </c>
      <c r="G4" s="14">
        <v>5100.0</v>
      </c>
      <c r="H4" s="12" t="s">
        <v>3</v>
      </c>
      <c r="I4" s="14">
        <v>1023619.0</v>
      </c>
      <c r="J4" s="12" t="s">
        <v>3</v>
      </c>
      <c r="K4" s="14">
        <v>7388.0</v>
      </c>
      <c r="L4" s="12" t="s">
        <v>3</v>
      </c>
      <c r="M4" s="14">
        <v>1688677.0</v>
      </c>
      <c r="N4" s="15" t="s">
        <v>5</v>
      </c>
      <c r="O4" s="16">
        <v>-46000.0</v>
      </c>
      <c r="P4" s="12" t="s">
        <v>3</v>
      </c>
      <c r="Q4" s="14">
        <v>51902.0</v>
      </c>
      <c r="R4" s="12" t="s">
        <v>3</v>
      </c>
      <c r="S4" s="14">
        <v>518049.0</v>
      </c>
      <c r="T4" s="17" t="s">
        <v>6</v>
      </c>
      <c r="U4" s="18">
        <v>2498647.0</v>
      </c>
      <c r="V4" s="12" t="s">
        <v>3</v>
      </c>
      <c r="W4" s="14">
        <v>1004905.0</v>
      </c>
      <c r="X4" s="12" t="s">
        <v>7</v>
      </c>
      <c r="Y4" s="14">
        <v>34468.0</v>
      </c>
      <c r="Z4" s="12" t="s">
        <v>3</v>
      </c>
      <c r="AA4" s="14">
        <v>84513.0</v>
      </c>
      <c r="AB4" s="12" t="s">
        <v>8</v>
      </c>
      <c r="AC4" s="14">
        <v>48000.0</v>
      </c>
      <c r="AD4" s="12" t="s">
        <v>9</v>
      </c>
      <c r="AE4" s="13">
        <v>99658.0</v>
      </c>
      <c r="AF4" s="12" t="s">
        <v>3</v>
      </c>
      <c r="AG4" s="13">
        <v>74788.0</v>
      </c>
      <c r="AH4" s="12" t="s">
        <v>3</v>
      </c>
      <c r="AI4" s="13">
        <v>467001.0</v>
      </c>
      <c r="AJ4" s="12" t="s">
        <v>3</v>
      </c>
      <c r="AK4" s="13">
        <v>1154698.0</v>
      </c>
      <c r="AL4" s="12" t="s">
        <v>7</v>
      </c>
      <c r="AM4" s="13">
        <v>2018840.0</v>
      </c>
      <c r="AN4" s="12" t="s">
        <v>3</v>
      </c>
      <c r="AO4" s="13">
        <v>182740.0</v>
      </c>
      <c r="AP4" s="12" t="s">
        <v>3</v>
      </c>
      <c r="AQ4" s="13">
        <v>437625.0</v>
      </c>
      <c r="AR4" s="12" t="s">
        <v>3</v>
      </c>
      <c r="AS4" s="13">
        <v>484240.0</v>
      </c>
      <c r="AT4" s="12" t="s">
        <v>10</v>
      </c>
      <c r="AU4" s="13">
        <v>7.134E7</v>
      </c>
      <c r="AV4" s="12" t="s">
        <v>3</v>
      </c>
      <c r="AW4" s="13">
        <v>3800287.0</v>
      </c>
      <c r="AX4" s="12"/>
      <c r="AY4" s="13"/>
      <c r="AZ4" s="12" t="s">
        <v>3</v>
      </c>
      <c r="BA4" s="13">
        <v>4276380.0</v>
      </c>
      <c r="BB4" s="12" t="s">
        <v>7</v>
      </c>
      <c r="BC4" s="13">
        <v>1002826.0</v>
      </c>
      <c r="BD4" s="12" t="s">
        <v>7</v>
      </c>
      <c r="BE4" s="13">
        <v>3851984.0</v>
      </c>
      <c r="BF4" s="12" t="s">
        <v>3</v>
      </c>
      <c r="BG4" s="13">
        <v>1145931.0</v>
      </c>
      <c r="BH4" s="12"/>
      <c r="BI4" s="13"/>
    </row>
    <row r="5" ht="16.5" customHeight="1">
      <c r="A5" s="19"/>
      <c r="B5" s="12" t="s">
        <v>7</v>
      </c>
      <c r="C5" s="13">
        <v>114416.0</v>
      </c>
      <c r="D5" s="12" t="s">
        <v>7</v>
      </c>
      <c r="E5" s="13">
        <v>654114.0</v>
      </c>
      <c r="F5" s="17" t="s">
        <v>11</v>
      </c>
      <c r="G5" s="18">
        <v>3366640.0</v>
      </c>
      <c r="H5" s="12" t="s">
        <v>7</v>
      </c>
      <c r="I5" s="14">
        <v>765272.0</v>
      </c>
      <c r="J5" s="12" t="s">
        <v>12</v>
      </c>
      <c r="K5" s="14">
        <v>825775.0</v>
      </c>
      <c r="L5" s="12" t="s">
        <v>7</v>
      </c>
      <c r="M5" s="14">
        <v>1079597.0</v>
      </c>
      <c r="N5" s="12"/>
      <c r="O5" s="14"/>
      <c r="P5" s="12" t="s">
        <v>7</v>
      </c>
      <c r="Q5" s="14">
        <v>92791.0</v>
      </c>
      <c r="R5" s="12" t="s">
        <v>7</v>
      </c>
      <c r="S5" s="14">
        <v>123754.0</v>
      </c>
      <c r="T5" s="17" t="s">
        <v>11</v>
      </c>
      <c r="U5" s="18">
        <v>499892.0</v>
      </c>
      <c r="V5" s="12" t="s">
        <v>7</v>
      </c>
      <c r="W5" s="14">
        <v>881364.0</v>
      </c>
      <c r="X5" s="12" t="s">
        <v>12</v>
      </c>
      <c r="Y5" s="14">
        <v>85974.0</v>
      </c>
      <c r="Z5" s="12" t="s">
        <v>7</v>
      </c>
      <c r="AA5" s="14">
        <v>841751.0</v>
      </c>
      <c r="AB5" s="12" t="s">
        <v>8</v>
      </c>
      <c r="AC5" s="14">
        <v>48000.0</v>
      </c>
      <c r="AD5" s="12" t="s">
        <v>13</v>
      </c>
      <c r="AE5" s="13">
        <v>90000.0</v>
      </c>
      <c r="AF5" s="12" t="s">
        <v>7</v>
      </c>
      <c r="AG5" s="13">
        <v>236127.0</v>
      </c>
      <c r="AH5" s="12" t="s">
        <v>7</v>
      </c>
      <c r="AI5" s="13">
        <v>965013.0</v>
      </c>
      <c r="AJ5" s="12" t="s">
        <v>7</v>
      </c>
      <c r="AK5" s="13">
        <v>400523.0</v>
      </c>
      <c r="AL5" s="12" t="s">
        <v>14</v>
      </c>
      <c r="AM5" s="13">
        <v>6843.0</v>
      </c>
      <c r="AN5" s="12" t="s">
        <v>7</v>
      </c>
      <c r="AO5" s="13">
        <v>229627.0</v>
      </c>
      <c r="AP5" s="12" t="s">
        <v>7</v>
      </c>
      <c r="AQ5" s="13">
        <v>117319.0</v>
      </c>
      <c r="AR5" s="12" t="s">
        <v>7</v>
      </c>
      <c r="AS5" s="13">
        <v>215766.0</v>
      </c>
      <c r="AT5" s="12" t="s">
        <v>15</v>
      </c>
      <c r="AU5" s="13">
        <v>750167.0</v>
      </c>
      <c r="AV5" s="12" t="s">
        <v>7</v>
      </c>
      <c r="AW5" s="13">
        <v>3903988.0</v>
      </c>
      <c r="AX5" s="12"/>
      <c r="AY5" s="13"/>
      <c r="AZ5" s="12" t="s">
        <v>14</v>
      </c>
      <c r="BA5" s="13">
        <v>279300.0</v>
      </c>
      <c r="BB5" s="12" t="s">
        <v>14</v>
      </c>
      <c r="BC5" s="13">
        <v>173090.0</v>
      </c>
      <c r="BD5" s="12" t="s">
        <v>14</v>
      </c>
      <c r="BE5" s="13">
        <v>34293.0</v>
      </c>
      <c r="BF5" s="12" t="s">
        <v>7</v>
      </c>
      <c r="BG5" s="13">
        <v>58349.0</v>
      </c>
      <c r="BH5" s="12"/>
      <c r="BI5" s="13"/>
    </row>
    <row r="6" ht="16.5" customHeight="1">
      <c r="A6" s="19"/>
      <c r="B6" s="12" t="s">
        <v>14</v>
      </c>
      <c r="C6" s="13">
        <v>20524.0</v>
      </c>
      <c r="D6" s="12" t="s">
        <v>14</v>
      </c>
      <c r="E6" s="13">
        <v>219792.0</v>
      </c>
      <c r="F6" s="12" t="s">
        <v>16</v>
      </c>
      <c r="G6" s="14">
        <v>293500.0</v>
      </c>
      <c r="H6" s="12" t="s">
        <v>14</v>
      </c>
      <c r="I6" s="14">
        <v>333335.0</v>
      </c>
      <c r="J6" s="12" t="s">
        <v>10</v>
      </c>
      <c r="K6" s="14">
        <v>7069090.0</v>
      </c>
      <c r="L6" s="12" t="s">
        <v>14</v>
      </c>
      <c r="M6" s="14">
        <v>3840837.0</v>
      </c>
      <c r="N6" s="12"/>
      <c r="O6" s="14"/>
      <c r="P6" s="12" t="s">
        <v>14</v>
      </c>
      <c r="Q6" s="14">
        <v>94664.0</v>
      </c>
      <c r="R6" s="12" t="s">
        <v>14</v>
      </c>
      <c r="S6" s="14">
        <v>143926.0</v>
      </c>
      <c r="T6" s="12" t="s">
        <v>17</v>
      </c>
      <c r="U6" s="14">
        <v>100000.0</v>
      </c>
      <c r="V6" s="12" t="s">
        <v>14</v>
      </c>
      <c r="W6" s="14">
        <v>1276692.0</v>
      </c>
      <c r="X6" s="12" t="s">
        <v>8</v>
      </c>
      <c r="Y6" s="14">
        <v>48000.0</v>
      </c>
      <c r="Z6" s="12" t="s">
        <v>14</v>
      </c>
      <c r="AA6" s="14">
        <v>630611.0</v>
      </c>
      <c r="AB6" s="12" t="s">
        <v>18</v>
      </c>
      <c r="AC6" s="14">
        <v>100000.0</v>
      </c>
      <c r="AD6" s="12"/>
      <c r="AE6" s="13"/>
      <c r="AF6" s="12" t="s">
        <v>14</v>
      </c>
      <c r="AG6" s="13">
        <v>64893.0</v>
      </c>
      <c r="AH6" s="12" t="s">
        <v>14</v>
      </c>
      <c r="AI6" s="13">
        <v>100178.0</v>
      </c>
      <c r="AJ6" s="12" t="s">
        <v>14</v>
      </c>
      <c r="AK6" s="13">
        <v>169555.0</v>
      </c>
      <c r="AL6" s="12" t="s">
        <v>12</v>
      </c>
      <c r="AM6" s="13">
        <v>548607.0</v>
      </c>
      <c r="AN6" s="12" t="s">
        <v>14</v>
      </c>
      <c r="AO6" s="13">
        <v>432799.0</v>
      </c>
      <c r="AP6" s="12" t="s">
        <v>14</v>
      </c>
      <c r="AQ6" s="13">
        <v>36609.0</v>
      </c>
      <c r="AR6" s="12" t="s">
        <v>14</v>
      </c>
      <c r="AS6" s="13">
        <v>1108875.0</v>
      </c>
      <c r="AT6" s="17" t="s">
        <v>11</v>
      </c>
      <c r="AU6" s="20">
        <v>2842547.0</v>
      </c>
      <c r="AV6" s="12" t="s">
        <v>14</v>
      </c>
      <c r="AW6" s="13">
        <v>308336.0</v>
      </c>
      <c r="AX6" s="12"/>
      <c r="AY6" s="13"/>
      <c r="AZ6" s="12" t="s">
        <v>12</v>
      </c>
      <c r="BA6" s="13">
        <v>4414103.0</v>
      </c>
      <c r="BB6" s="12" t="s">
        <v>12</v>
      </c>
      <c r="BC6" s="13">
        <v>291122.0</v>
      </c>
      <c r="BD6" s="12" t="s">
        <v>19</v>
      </c>
      <c r="BE6" s="13">
        <v>5868.0</v>
      </c>
      <c r="BF6" s="12" t="s">
        <v>14</v>
      </c>
      <c r="BG6" s="13">
        <v>124120.0</v>
      </c>
      <c r="BH6" s="12"/>
      <c r="BI6" s="13"/>
    </row>
    <row r="7" ht="16.5" customHeight="1">
      <c r="A7" s="19"/>
      <c r="B7" s="12" t="s">
        <v>12</v>
      </c>
      <c r="C7" s="13">
        <v>411883.0</v>
      </c>
      <c r="D7" s="12" t="s">
        <v>20</v>
      </c>
      <c r="E7" s="13">
        <v>377620.0</v>
      </c>
      <c r="F7" s="21" t="s">
        <v>21</v>
      </c>
      <c r="G7" s="21" t="s">
        <v>21</v>
      </c>
      <c r="H7" s="12" t="s">
        <v>19</v>
      </c>
      <c r="I7" s="14">
        <v>89576.0</v>
      </c>
      <c r="J7" s="12" t="s">
        <v>15</v>
      </c>
      <c r="K7" s="14">
        <v>265989.0</v>
      </c>
      <c r="L7" s="12" t="s">
        <v>12</v>
      </c>
      <c r="M7" s="14">
        <v>1370518.0</v>
      </c>
      <c r="N7" s="12"/>
      <c r="O7" s="14"/>
      <c r="P7" s="12" t="s">
        <v>12</v>
      </c>
      <c r="Q7" s="14">
        <v>957931.0</v>
      </c>
      <c r="R7" s="12" t="s">
        <v>12</v>
      </c>
      <c r="S7" s="22">
        <v>7108318.0</v>
      </c>
      <c r="T7" s="23" t="s">
        <v>22</v>
      </c>
      <c r="U7" s="24">
        <v>6819580.0</v>
      </c>
      <c r="V7" s="12" t="s">
        <v>19</v>
      </c>
      <c r="W7" s="14">
        <v>3447824.0</v>
      </c>
      <c r="X7" s="12" t="s">
        <v>8</v>
      </c>
      <c r="Y7" s="14">
        <v>48000.0</v>
      </c>
      <c r="Z7" s="12" t="s">
        <v>12</v>
      </c>
      <c r="AA7" s="14">
        <v>1176005.0</v>
      </c>
      <c r="AB7" s="17" t="s">
        <v>23</v>
      </c>
      <c r="AC7" s="18">
        <v>100407.0</v>
      </c>
      <c r="AD7" s="12"/>
      <c r="AE7" s="13"/>
      <c r="AF7" s="12" t="s">
        <v>12</v>
      </c>
      <c r="AG7" s="13">
        <v>403725.0</v>
      </c>
      <c r="AH7" s="12" t="s">
        <v>12</v>
      </c>
      <c r="AI7" s="13">
        <v>4404556.0</v>
      </c>
      <c r="AJ7" s="12" t="s">
        <v>19</v>
      </c>
      <c r="AK7" s="13">
        <v>210775.0</v>
      </c>
      <c r="AL7" s="12" t="s">
        <v>24</v>
      </c>
      <c r="AM7" s="13">
        <v>4899.0</v>
      </c>
      <c r="AN7" s="12" t="s">
        <v>12</v>
      </c>
      <c r="AO7" s="13">
        <v>1303396.0</v>
      </c>
      <c r="AP7" s="12" t="s">
        <v>12</v>
      </c>
      <c r="AQ7" s="13">
        <v>1834535.0</v>
      </c>
      <c r="AR7" s="12" t="s">
        <v>12</v>
      </c>
      <c r="AS7" s="13">
        <v>563278.0</v>
      </c>
      <c r="AT7" s="17" t="s">
        <v>11</v>
      </c>
      <c r="AU7" s="20">
        <v>60455.0</v>
      </c>
      <c r="AV7" s="12" t="s">
        <v>19</v>
      </c>
      <c r="AW7" s="13">
        <v>107168.0</v>
      </c>
      <c r="AX7" s="12"/>
      <c r="AY7" s="13"/>
      <c r="AZ7" s="12">
        <v>2.0571604132561E13</v>
      </c>
      <c r="BA7" s="13">
        <v>-1072602.0</v>
      </c>
      <c r="BB7" s="12" t="s">
        <v>24</v>
      </c>
      <c r="BC7" s="13">
        <v>64937.0</v>
      </c>
      <c r="BD7" s="17" t="s">
        <v>11</v>
      </c>
      <c r="BE7" s="20">
        <v>293188.0</v>
      </c>
      <c r="BF7" s="12" t="s">
        <v>25</v>
      </c>
      <c r="BG7" s="13">
        <v>5709318.0</v>
      </c>
      <c r="BH7" s="12"/>
      <c r="BI7" s="13"/>
    </row>
    <row r="8" ht="16.5" customHeight="1">
      <c r="A8" s="19"/>
      <c r="B8" s="12" t="s">
        <v>26</v>
      </c>
      <c r="C8" s="13">
        <v>12569.0</v>
      </c>
      <c r="D8" s="12" t="s">
        <v>12</v>
      </c>
      <c r="E8" s="13">
        <v>4830618.0</v>
      </c>
      <c r="F8" s="12" t="s">
        <v>27</v>
      </c>
      <c r="G8" s="14">
        <v>19610.0</v>
      </c>
      <c r="H8" s="12" t="s">
        <v>28</v>
      </c>
      <c r="I8" s="14">
        <v>234120.0</v>
      </c>
      <c r="J8" s="17" t="s">
        <v>29</v>
      </c>
      <c r="K8" s="18">
        <v>420001.0</v>
      </c>
      <c r="L8" s="12" t="s">
        <v>20</v>
      </c>
      <c r="M8" s="14">
        <v>109900.0</v>
      </c>
      <c r="N8" s="12"/>
      <c r="O8" s="14"/>
      <c r="P8" s="12" t="s">
        <v>24</v>
      </c>
      <c r="Q8" s="14">
        <v>39306.0</v>
      </c>
      <c r="R8" s="12" t="s">
        <v>24</v>
      </c>
      <c r="S8" s="14">
        <v>13086.0</v>
      </c>
      <c r="T8" s="23" t="s">
        <v>30</v>
      </c>
      <c r="U8" s="24">
        <v>8695420.0</v>
      </c>
      <c r="V8" s="12" t="s">
        <v>15</v>
      </c>
      <c r="W8" s="14">
        <v>9797.0</v>
      </c>
      <c r="X8" s="12" t="s">
        <v>15</v>
      </c>
      <c r="Y8" s="14">
        <v>99930.0</v>
      </c>
      <c r="Z8" s="12" t="s">
        <v>24</v>
      </c>
      <c r="AA8" s="14">
        <v>31158.0</v>
      </c>
      <c r="AB8" s="17" t="s">
        <v>31</v>
      </c>
      <c r="AC8" s="18">
        <v>697461.0</v>
      </c>
      <c r="AD8" s="12"/>
      <c r="AE8" s="13"/>
      <c r="AF8" s="12" t="s">
        <v>24</v>
      </c>
      <c r="AG8" s="13">
        <v>59130.0</v>
      </c>
      <c r="AH8" s="12" t="s">
        <v>24</v>
      </c>
      <c r="AI8" s="13">
        <v>23124.0</v>
      </c>
      <c r="AJ8" s="17" t="s">
        <v>32</v>
      </c>
      <c r="AK8" s="20">
        <v>93723.0</v>
      </c>
      <c r="AL8" s="12" t="s">
        <v>15</v>
      </c>
      <c r="AM8" s="13">
        <v>139511.0</v>
      </c>
      <c r="AN8" s="12" t="s">
        <v>24</v>
      </c>
      <c r="AO8" s="13">
        <v>19596.0</v>
      </c>
      <c r="AP8" s="12" t="s">
        <v>26</v>
      </c>
      <c r="AQ8" s="13">
        <v>39843.0</v>
      </c>
      <c r="AR8" s="12" t="s">
        <v>24</v>
      </c>
      <c r="AS8" s="13">
        <v>39913.0</v>
      </c>
      <c r="AT8" s="17" t="s">
        <v>11</v>
      </c>
      <c r="AU8" s="20">
        <v>975213.0</v>
      </c>
      <c r="AV8" s="12" t="s">
        <v>10</v>
      </c>
      <c r="AW8" s="13">
        <v>9695450.0</v>
      </c>
      <c r="AX8" s="12"/>
      <c r="AY8" s="13"/>
      <c r="AZ8" s="12" t="s">
        <v>15</v>
      </c>
      <c r="BA8" s="13">
        <v>134221.0</v>
      </c>
      <c r="BB8" s="12" t="s">
        <v>26</v>
      </c>
      <c r="BC8" s="13">
        <v>527884.0</v>
      </c>
      <c r="BD8" s="12"/>
      <c r="BE8" s="13"/>
      <c r="BF8" s="12"/>
      <c r="BG8" s="13"/>
      <c r="BH8" s="12"/>
      <c r="BI8" s="13"/>
    </row>
    <row r="9" ht="16.5" customHeight="1">
      <c r="A9" s="19"/>
      <c r="B9" s="12" t="s">
        <v>26</v>
      </c>
      <c r="C9" s="13">
        <v>2428230.0</v>
      </c>
      <c r="D9" s="12" t="s">
        <v>24</v>
      </c>
      <c r="E9" s="13">
        <v>73026.0</v>
      </c>
      <c r="F9" s="12" t="s">
        <v>33</v>
      </c>
      <c r="G9" s="14">
        <v>100000.0</v>
      </c>
      <c r="H9" s="17" t="s">
        <v>29</v>
      </c>
      <c r="I9" s="18">
        <v>420001.0</v>
      </c>
      <c r="J9" s="21" t="s">
        <v>34</v>
      </c>
      <c r="K9" s="25">
        <v>300000.0</v>
      </c>
      <c r="L9" s="12" t="s">
        <v>26</v>
      </c>
      <c r="M9" s="14">
        <v>351546.0</v>
      </c>
      <c r="N9" s="12"/>
      <c r="O9" s="14"/>
      <c r="P9" s="12" t="s">
        <v>26</v>
      </c>
      <c r="Q9" s="14">
        <v>358691.0</v>
      </c>
      <c r="R9" s="12" t="s">
        <v>26</v>
      </c>
      <c r="S9" s="14">
        <v>140380.0</v>
      </c>
      <c r="T9" s="12"/>
      <c r="U9" s="14"/>
      <c r="V9" s="12"/>
      <c r="W9" s="14"/>
      <c r="X9" s="12"/>
      <c r="Y9" s="14"/>
      <c r="Z9" s="12" t="s">
        <v>26</v>
      </c>
      <c r="AA9" s="14">
        <v>732146.0</v>
      </c>
      <c r="AB9" s="12"/>
      <c r="AC9" s="14"/>
      <c r="AD9" s="12"/>
      <c r="AE9" s="13"/>
      <c r="AF9" s="12" t="s">
        <v>26</v>
      </c>
      <c r="AG9" s="13">
        <v>1034109.0</v>
      </c>
      <c r="AH9" s="12" t="s">
        <v>26</v>
      </c>
      <c r="AI9" s="13">
        <v>3088002.0</v>
      </c>
      <c r="AJ9" s="12" t="s">
        <v>35</v>
      </c>
      <c r="AK9" s="13">
        <v>27170.0</v>
      </c>
      <c r="AL9" s="17" t="s">
        <v>36</v>
      </c>
      <c r="AM9" s="20">
        <v>3388400.0</v>
      </c>
      <c r="AN9" s="12" t="s">
        <v>37</v>
      </c>
      <c r="AO9" s="13">
        <v>22500.0</v>
      </c>
      <c r="AP9" s="12" t="s">
        <v>19</v>
      </c>
      <c r="AQ9" s="13">
        <v>39120.0</v>
      </c>
      <c r="AR9" s="12" t="s">
        <v>26</v>
      </c>
      <c r="AS9" s="13">
        <v>205618.0</v>
      </c>
      <c r="AT9" s="17" t="s">
        <v>38</v>
      </c>
      <c r="AU9" s="20">
        <v>408210.0</v>
      </c>
      <c r="AV9" s="17" t="s">
        <v>32</v>
      </c>
      <c r="AW9" s="20">
        <v>2.4352872E7</v>
      </c>
      <c r="AX9" s="12"/>
      <c r="AY9" s="13"/>
      <c r="AZ9" s="12" t="s">
        <v>39</v>
      </c>
      <c r="BA9" s="13">
        <v>27170.0</v>
      </c>
      <c r="BB9" s="12" t="s">
        <v>26</v>
      </c>
      <c r="BC9" s="13">
        <v>250900.0</v>
      </c>
      <c r="BD9" s="12"/>
      <c r="BE9" s="13"/>
      <c r="BF9" s="12"/>
      <c r="BG9" s="13"/>
      <c r="BH9" s="12"/>
      <c r="BI9" s="13"/>
    </row>
    <row r="10" ht="16.5" customHeight="1">
      <c r="A10" s="19"/>
      <c r="B10" s="12" t="s">
        <v>19</v>
      </c>
      <c r="C10" s="13">
        <v>3596044.0</v>
      </c>
      <c r="D10" s="21" t="s">
        <v>40</v>
      </c>
      <c r="E10" s="26">
        <v>-110958.0</v>
      </c>
      <c r="F10" s="12"/>
      <c r="G10" s="14"/>
      <c r="H10" s="17" t="s">
        <v>41</v>
      </c>
      <c r="I10" s="18">
        <v>161200.0</v>
      </c>
      <c r="J10" s="17" t="s">
        <v>36</v>
      </c>
      <c r="K10" s="18">
        <v>3264300.0</v>
      </c>
      <c r="L10" s="17" t="s">
        <v>42</v>
      </c>
      <c r="M10" s="18">
        <v>401000.0</v>
      </c>
      <c r="N10" s="12"/>
      <c r="O10" s="14"/>
      <c r="P10" s="12" t="s">
        <v>15</v>
      </c>
      <c r="Q10" s="14">
        <v>380615.0</v>
      </c>
      <c r="R10" s="12" t="s">
        <v>26</v>
      </c>
      <c r="S10" s="14">
        <v>1374375.0</v>
      </c>
      <c r="T10" s="12"/>
      <c r="U10" s="14"/>
      <c r="V10" s="12"/>
      <c r="W10" s="14"/>
      <c r="X10" s="12"/>
      <c r="Y10" s="14"/>
      <c r="Z10" s="12" t="s">
        <v>26</v>
      </c>
      <c r="AA10" s="14">
        <v>292099.0</v>
      </c>
      <c r="AB10" s="12"/>
      <c r="AC10" s="14"/>
      <c r="AD10" s="12"/>
      <c r="AE10" s="13"/>
      <c r="AF10" s="12" t="s">
        <v>19</v>
      </c>
      <c r="AG10" s="13">
        <v>12170.0</v>
      </c>
      <c r="AH10" s="12" t="s">
        <v>26</v>
      </c>
      <c r="AI10" s="13">
        <v>886650.0</v>
      </c>
      <c r="AJ10" s="12" t="s">
        <v>43</v>
      </c>
      <c r="AK10" s="13">
        <v>19610.0</v>
      </c>
      <c r="AL10" s="12"/>
      <c r="AM10" s="13"/>
      <c r="AN10" s="12" t="s">
        <v>26</v>
      </c>
      <c r="AO10" s="13">
        <v>225679.0</v>
      </c>
      <c r="AP10" s="12" t="s">
        <v>15</v>
      </c>
      <c r="AQ10" s="13">
        <v>2933126.0</v>
      </c>
      <c r="AR10" s="12" t="s">
        <v>26</v>
      </c>
      <c r="AS10" s="13">
        <v>1608269.0</v>
      </c>
      <c r="AT10" s="12"/>
      <c r="AU10" s="13"/>
      <c r="AV10" s="17" t="s">
        <v>11</v>
      </c>
      <c r="AW10" s="20">
        <v>29650.0</v>
      </c>
      <c r="AX10" s="12"/>
      <c r="AY10" s="13"/>
      <c r="AZ10" s="12"/>
      <c r="BA10" s="13"/>
      <c r="BB10" s="12" t="s">
        <v>19</v>
      </c>
      <c r="BC10" s="13">
        <v>151885.0</v>
      </c>
      <c r="BD10" s="12"/>
      <c r="BE10" s="13"/>
      <c r="BF10" s="12"/>
      <c r="BG10" s="13"/>
      <c r="BH10" s="12"/>
      <c r="BI10" s="13"/>
    </row>
    <row r="11" ht="16.5" customHeight="1">
      <c r="A11" s="19"/>
      <c r="B11" s="27" t="s">
        <v>15</v>
      </c>
      <c r="C11" s="28">
        <v>100520.0</v>
      </c>
      <c r="D11" s="12" t="s">
        <v>26</v>
      </c>
      <c r="E11" s="13">
        <v>2451116.0</v>
      </c>
      <c r="F11" s="27"/>
      <c r="G11" s="14"/>
      <c r="H11" s="23" t="s">
        <v>44</v>
      </c>
      <c r="I11" s="24">
        <v>2999289.0</v>
      </c>
      <c r="J11" s="17" t="s">
        <v>11</v>
      </c>
      <c r="K11" s="18">
        <v>240923.0</v>
      </c>
      <c r="L11" s="27" t="s">
        <v>45</v>
      </c>
      <c r="M11" s="14">
        <v>54340.0</v>
      </c>
      <c r="N11" s="27"/>
      <c r="O11" s="14"/>
      <c r="P11" s="27" t="s">
        <v>46</v>
      </c>
      <c r="Q11" s="14">
        <v>266897.0</v>
      </c>
      <c r="R11" s="27" t="s">
        <v>19</v>
      </c>
      <c r="S11" s="14">
        <v>81761.0</v>
      </c>
      <c r="T11" s="27"/>
      <c r="U11" s="14"/>
      <c r="V11" s="27"/>
      <c r="W11" s="14"/>
      <c r="X11" s="27"/>
      <c r="Y11" s="14"/>
      <c r="Z11" s="27" t="s">
        <v>19</v>
      </c>
      <c r="AA11" s="14">
        <v>28429.0</v>
      </c>
      <c r="AB11" s="27"/>
      <c r="AC11" s="14"/>
      <c r="AD11" s="27"/>
      <c r="AE11" s="13"/>
      <c r="AF11" s="17" t="s">
        <v>47</v>
      </c>
      <c r="AG11" s="20">
        <v>600000.0</v>
      </c>
      <c r="AH11" s="27" t="s">
        <v>19</v>
      </c>
      <c r="AI11" s="13">
        <v>87481.0</v>
      </c>
      <c r="AJ11" s="27" t="s">
        <v>48</v>
      </c>
      <c r="AK11" s="13">
        <v>800000.0</v>
      </c>
      <c r="AL11" s="27"/>
      <c r="AM11" s="13"/>
      <c r="AN11" s="27" t="s">
        <v>26</v>
      </c>
      <c r="AO11" s="13">
        <v>48803.0</v>
      </c>
      <c r="AP11" s="27"/>
      <c r="AQ11" s="13"/>
      <c r="AR11" s="27" t="s">
        <v>19</v>
      </c>
      <c r="AS11" s="13">
        <v>61614.0</v>
      </c>
      <c r="AT11" s="27"/>
      <c r="AU11" s="13"/>
      <c r="AV11" s="27"/>
      <c r="AW11" s="13"/>
      <c r="AX11" s="12"/>
      <c r="AY11" s="13"/>
      <c r="AZ11" s="27"/>
      <c r="BA11" s="13"/>
      <c r="BB11" s="17" t="s">
        <v>42</v>
      </c>
      <c r="BC11" s="20">
        <v>4958700.0</v>
      </c>
      <c r="BD11" s="27"/>
      <c r="BE11" s="13"/>
      <c r="BF11" s="27"/>
      <c r="BG11" s="13"/>
      <c r="BH11" s="27"/>
      <c r="BI11" s="13"/>
    </row>
    <row r="12" ht="16.5" customHeight="1">
      <c r="A12" s="19"/>
      <c r="B12" s="17" t="s">
        <v>49</v>
      </c>
      <c r="C12" s="20">
        <v>541120.0</v>
      </c>
      <c r="D12" s="27" t="s">
        <v>26</v>
      </c>
      <c r="E12" s="28">
        <v>167649.0</v>
      </c>
      <c r="F12" s="12"/>
      <c r="G12" s="14"/>
      <c r="H12" s="17" t="s">
        <v>23</v>
      </c>
      <c r="I12" s="18">
        <v>1260510.0</v>
      </c>
      <c r="J12" s="12" t="s">
        <v>50</v>
      </c>
      <c r="K12" s="14">
        <v>39220.0</v>
      </c>
      <c r="L12" s="12"/>
      <c r="M12" s="14"/>
      <c r="N12" s="12"/>
      <c r="O12" s="14"/>
      <c r="P12" s="15" t="s">
        <v>5</v>
      </c>
      <c r="Q12" s="16">
        <v>-23000.0</v>
      </c>
      <c r="R12" s="17" t="s">
        <v>32</v>
      </c>
      <c r="S12" s="18">
        <v>8128535.0</v>
      </c>
      <c r="T12" s="27"/>
      <c r="U12" s="29"/>
      <c r="V12" s="12"/>
      <c r="W12" s="14"/>
      <c r="X12" s="27"/>
      <c r="Y12" s="29"/>
      <c r="Z12" s="17" t="s">
        <v>42</v>
      </c>
      <c r="AA12" s="18">
        <v>3668100.0</v>
      </c>
      <c r="AB12" s="12"/>
      <c r="AC12" s="14"/>
      <c r="AD12" s="12"/>
      <c r="AE12" s="13"/>
      <c r="AF12" s="12" t="s">
        <v>15</v>
      </c>
      <c r="AG12" s="13">
        <v>123443.0</v>
      </c>
      <c r="AH12" s="12" t="s">
        <v>15</v>
      </c>
      <c r="AI12" s="13">
        <v>3247806.0</v>
      </c>
      <c r="AJ12" s="17" t="s">
        <v>11</v>
      </c>
      <c r="AK12" s="20">
        <v>3516054.0</v>
      </c>
      <c r="AL12" s="12"/>
      <c r="AM12" s="13"/>
      <c r="AN12" s="12" t="s">
        <v>19</v>
      </c>
      <c r="AO12" s="13">
        <v>23541.0</v>
      </c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 t="s">
        <v>15</v>
      </c>
      <c r="BC12" s="13">
        <v>9700.0</v>
      </c>
      <c r="BD12" s="12"/>
      <c r="BE12" s="13"/>
      <c r="BF12" s="12"/>
      <c r="BG12" s="13"/>
      <c r="BH12" s="12"/>
      <c r="BI12" s="13"/>
    </row>
    <row r="13" ht="16.5" customHeight="1">
      <c r="A13" s="19"/>
      <c r="B13" s="27" t="s">
        <v>51</v>
      </c>
      <c r="C13" s="28">
        <v>71060.0</v>
      </c>
      <c r="D13" s="12" t="s">
        <v>19</v>
      </c>
      <c r="E13" s="13">
        <v>204459.0</v>
      </c>
      <c r="F13" s="12"/>
      <c r="G13" s="14"/>
      <c r="H13" s="17" t="s">
        <v>11</v>
      </c>
      <c r="I13" s="18">
        <v>421339.0</v>
      </c>
      <c r="J13" s="12"/>
      <c r="K13" s="14"/>
      <c r="L13" s="12"/>
      <c r="M13" s="14"/>
      <c r="N13" s="12"/>
      <c r="O13" s="14"/>
      <c r="P13" s="15" t="s">
        <v>5</v>
      </c>
      <c r="Q13" s="16">
        <v>-46000.0</v>
      </c>
      <c r="R13" s="12" t="s">
        <v>15</v>
      </c>
      <c r="S13" s="14">
        <v>1918745.0</v>
      </c>
      <c r="T13" s="12"/>
      <c r="U13" s="14"/>
      <c r="V13" s="12"/>
      <c r="W13" s="14"/>
      <c r="X13" s="12"/>
      <c r="Y13" s="14"/>
      <c r="Z13" s="12" t="s">
        <v>15</v>
      </c>
      <c r="AA13" s="14">
        <v>993225.0</v>
      </c>
      <c r="AB13" s="12"/>
      <c r="AC13" s="14"/>
      <c r="AD13" s="12"/>
      <c r="AE13" s="13"/>
      <c r="AF13" s="27" t="s">
        <v>52</v>
      </c>
      <c r="AG13" s="28">
        <v>54340.0</v>
      </c>
      <c r="AH13" s="27" t="s">
        <v>53</v>
      </c>
      <c r="AI13" s="28">
        <v>150000.0</v>
      </c>
      <c r="AJ13" s="27"/>
      <c r="AK13" s="28"/>
      <c r="AL13" s="12"/>
      <c r="AM13" s="13"/>
      <c r="AN13" s="17" t="s">
        <v>32</v>
      </c>
      <c r="AO13" s="20">
        <v>4837830.0</v>
      </c>
      <c r="AP13" s="30"/>
      <c r="AQ13" s="13"/>
      <c r="AR13" s="12"/>
      <c r="AS13" s="13"/>
      <c r="AT13" s="12"/>
      <c r="AU13" s="13"/>
      <c r="AV13" s="30"/>
      <c r="AW13" s="13"/>
      <c r="AX13" s="30"/>
      <c r="AY13" s="13"/>
      <c r="AZ13" s="30"/>
      <c r="BA13" s="13"/>
      <c r="BB13" s="31" t="s">
        <v>11</v>
      </c>
      <c r="BC13" s="20">
        <v>252175.0</v>
      </c>
      <c r="BD13" s="30"/>
      <c r="BE13" s="13"/>
      <c r="BF13" s="30"/>
      <c r="BG13" s="13"/>
      <c r="BH13" s="30"/>
      <c r="BI13" s="13"/>
    </row>
    <row r="14" ht="16.5" customHeight="1">
      <c r="A14" s="19"/>
      <c r="B14" s="32" t="s">
        <v>38</v>
      </c>
      <c r="C14" s="20">
        <v>322977.0</v>
      </c>
      <c r="D14" s="27" t="s">
        <v>15</v>
      </c>
      <c r="E14" s="28">
        <v>383260.0</v>
      </c>
      <c r="F14" s="12"/>
      <c r="G14" s="14"/>
      <c r="H14" s="12"/>
      <c r="I14" s="14"/>
      <c r="J14" s="12"/>
      <c r="K14" s="14"/>
      <c r="L14" s="12"/>
      <c r="M14" s="14"/>
      <c r="N14" s="12"/>
      <c r="O14" s="14"/>
      <c r="P14" s="12"/>
      <c r="Q14" s="14"/>
      <c r="R14" s="12" t="s">
        <v>54</v>
      </c>
      <c r="S14" s="14">
        <v>20000.0</v>
      </c>
      <c r="T14" s="12"/>
      <c r="U14" s="14"/>
      <c r="V14" s="12"/>
      <c r="W14" s="14"/>
      <c r="X14" s="12"/>
      <c r="Y14" s="14"/>
      <c r="Z14" s="12"/>
      <c r="AA14" s="14"/>
      <c r="AB14" s="12"/>
      <c r="AC14" s="14"/>
      <c r="AD14" s="12"/>
      <c r="AE14" s="13"/>
      <c r="AF14" s="17" t="s">
        <v>36</v>
      </c>
      <c r="AG14" s="20">
        <v>715300.0</v>
      </c>
      <c r="AH14" s="12"/>
      <c r="AI14" s="13"/>
      <c r="AJ14" s="12"/>
      <c r="AK14" s="13"/>
      <c r="AL14" s="12"/>
      <c r="AM14" s="13"/>
      <c r="AN14" s="23" t="s">
        <v>55</v>
      </c>
      <c r="AO14" s="33">
        <v>2.21436E7</v>
      </c>
      <c r="AP14" s="30"/>
      <c r="AQ14" s="13"/>
      <c r="AR14" s="12"/>
      <c r="AS14" s="13"/>
      <c r="AT14" s="12"/>
      <c r="AU14" s="13"/>
      <c r="AV14" s="30"/>
      <c r="AW14" s="13"/>
      <c r="AX14" s="30"/>
      <c r="AY14" s="13"/>
      <c r="AZ14" s="30"/>
      <c r="BA14" s="13"/>
      <c r="BB14" s="30"/>
      <c r="BC14" s="13"/>
      <c r="BD14" s="30"/>
      <c r="BE14" s="13"/>
      <c r="BF14" s="30"/>
      <c r="BG14" s="13"/>
      <c r="BH14" s="30"/>
      <c r="BI14" s="13"/>
    </row>
    <row r="15" ht="16.5" customHeight="1">
      <c r="A15" s="19"/>
      <c r="B15" s="12"/>
      <c r="C15" s="13"/>
      <c r="D15" s="27" t="s">
        <v>56</v>
      </c>
      <c r="E15" s="13">
        <v>19610.0</v>
      </c>
      <c r="F15" s="12"/>
      <c r="G15" s="14"/>
      <c r="H15" s="12"/>
      <c r="I15" s="14"/>
      <c r="J15" s="12"/>
      <c r="K15" s="14"/>
      <c r="L15" s="12"/>
      <c r="M15" s="14"/>
      <c r="N15" s="12"/>
      <c r="O15" s="14"/>
      <c r="P15" s="12"/>
      <c r="Q15" s="14"/>
      <c r="R15" s="12"/>
      <c r="S15" s="14"/>
      <c r="T15" s="12"/>
      <c r="U15" s="14"/>
      <c r="V15" s="12"/>
      <c r="W15" s="14"/>
      <c r="X15" s="12"/>
      <c r="Y15" s="14"/>
      <c r="Z15" s="12"/>
      <c r="AA15" s="14"/>
      <c r="AB15" s="12"/>
      <c r="AC15" s="14"/>
      <c r="AD15" s="12"/>
      <c r="AE15" s="13"/>
      <c r="AF15" s="23" t="s">
        <v>57</v>
      </c>
      <c r="AG15" s="33">
        <v>1.99456E7</v>
      </c>
      <c r="AH15" s="12"/>
      <c r="AI15" s="13"/>
      <c r="AJ15" s="12"/>
      <c r="AK15" s="13"/>
      <c r="AL15" s="12"/>
      <c r="AM15" s="13"/>
      <c r="AN15" s="12" t="s">
        <v>15</v>
      </c>
      <c r="AO15" s="13">
        <v>112176.0</v>
      </c>
      <c r="AP15" s="30"/>
      <c r="AQ15" s="13"/>
      <c r="AR15" s="12"/>
      <c r="AS15" s="13"/>
      <c r="AT15" s="12"/>
      <c r="AU15" s="13"/>
      <c r="AV15" s="30"/>
      <c r="AW15" s="13"/>
      <c r="AX15" s="30"/>
      <c r="AY15" s="13"/>
      <c r="AZ15" s="30"/>
      <c r="BA15" s="13"/>
      <c r="BB15" s="30"/>
      <c r="BC15" s="13"/>
      <c r="BD15" s="30"/>
      <c r="BE15" s="13"/>
      <c r="BF15" s="30"/>
      <c r="BG15" s="13"/>
      <c r="BH15" s="30"/>
      <c r="BI15" s="13"/>
    </row>
    <row r="16" ht="16.5" customHeight="1">
      <c r="A16" s="19"/>
      <c r="B16" s="34">
        <f t="shared" ref="B16:BI16" si="1">SUM(B4:B15)</f>
        <v>0</v>
      </c>
      <c r="C16" s="34">
        <f t="shared" si="1"/>
        <v>7924693</v>
      </c>
      <c r="D16" s="34">
        <f t="shared" si="1"/>
        <v>0</v>
      </c>
      <c r="E16" s="34">
        <f t="shared" si="1"/>
        <v>9820914</v>
      </c>
      <c r="F16" s="34">
        <f t="shared" si="1"/>
        <v>0</v>
      </c>
      <c r="G16" s="34">
        <f t="shared" si="1"/>
        <v>3784850</v>
      </c>
      <c r="H16" s="34">
        <f t="shared" si="1"/>
        <v>0</v>
      </c>
      <c r="I16" s="34">
        <f t="shared" si="1"/>
        <v>7708261</v>
      </c>
      <c r="J16" s="34">
        <f t="shared" si="1"/>
        <v>0</v>
      </c>
      <c r="K16" s="34">
        <f t="shared" si="1"/>
        <v>12432686</v>
      </c>
      <c r="L16" s="34">
        <f t="shared" si="1"/>
        <v>0</v>
      </c>
      <c r="M16" s="34">
        <f t="shared" si="1"/>
        <v>8896415</v>
      </c>
      <c r="N16" s="34">
        <f t="shared" si="1"/>
        <v>0</v>
      </c>
      <c r="O16" s="34">
        <f t="shared" si="1"/>
        <v>-46000</v>
      </c>
      <c r="P16" s="34">
        <f t="shared" si="1"/>
        <v>0</v>
      </c>
      <c r="Q16" s="34">
        <f t="shared" si="1"/>
        <v>2173797</v>
      </c>
      <c r="R16" s="34">
        <f t="shared" si="1"/>
        <v>0</v>
      </c>
      <c r="S16" s="34">
        <f t="shared" si="1"/>
        <v>19570929</v>
      </c>
      <c r="T16" s="34">
        <f t="shared" si="1"/>
        <v>0</v>
      </c>
      <c r="U16" s="34">
        <f t="shared" si="1"/>
        <v>18613539</v>
      </c>
      <c r="V16" s="34">
        <f t="shared" si="1"/>
        <v>0</v>
      </c>
      <c r="W16" s="34">
        <f t="shared" si="1"/>
        <v>6620582</v>
      </c>
      <c r="X16" s="34">
        <f t="shared" si="1"/>
        <v>0</v>
      </c>
      <c r="Y16" s="34">
        <f t="shared" si="1"/>
        <v>316372</v>
      </c>
      <c r="Z16" s="34">
        <f t="shared" si="1"/>
        <v>0</v>
      </c>
      <c r="AA16" s="34">
        <f t="shared" si="1"/>
        <v>8478037</v>
      </c>
      <c r="AB16" s="34">
        <f t="shared" si="1"/>
        <v>0</v>
      </c>
      <c r="AC16" s="34">
        <f t="shared" si="1"/>
        <v>993868</v>
      </c>
      <c r="AD16" s="34">
        <f t="shared" si="1"/>
        <v>0</v>
      </c>
      <c r="AE16" s="34">
        <f t="shared" si="1"/>
        <v>189658</v>
      </c>
      <c r="AF16" s="34">
        <f t="shared" si="1"/>
        <v>0</v>
      </c>
      <c r="AG16" s="34">
        <f t="shared" si="1"/>
        <v>23323625</v>
      </c>
      <c r="AH16" s="34">
        <f t="shared" si="1"/>
        <v>0</v>
      </c>
      <c r="AI16" s="34">
        <f t="shared" si="1"/>
        <v>13419811</v>
      </c>
      <c r="AJ16" s="34">
        <f t="shared" si="1"/>
        <v>0</v>
      </c>
      <c r="AK16" s="34">
        <f t="shared" si="1"/>
        <v>6392108</v>
      </c>
      <c r="AL16" s="34">
        <f t="shared" si="1"/>
        <v>0</v>
      </c>
      <c r="AM16" s="34">
        <f t="shared" si="1"/>
        <v>6107100</v>
      </c>
      <c r="AN16" s="34">
        <f t="shared" si="1"/>
        <v>0</v>
      </c>
      <c r="AO16" s="34">
        <f t="shared" si="1"/>
        <v>29582287</v>
      </c>
      <c r="AP16" s="34">
        <f t="shared" si="1"/>
        <v>0</v>
      </c>
      <c r="AQ16" s="34">
        <f t="shared" si="1"/>
        <v>5438177</v>
      </c>
      <c r="AR16" s="34">
        <f t="shared" si="1"/>
        <v>0</v>
      </c>
      <c r="AS16" s="34">
        <f t="shared" si="1"/>
        <v>4287573</v>
      </c>
      <c r="AT16" s="34">
        <f t="shared" si="1"/>
        <v>0</v>
      </c>
      <c r="AU16" s="34">
        <f t="shared" si="1"/>
        <v>76376592</v>
      </c>
      <c r="AV16" s="34">
        <f t="shared" si="1"/>
        <v>0</v>
      </c>
      <c r="AW16" s="34">
        <f t="shared" si="1"/>
        <v>42197751</v>
      </c>
      <c r="AX16" s="34">
        <f t="shared" si="1"/>
        <v>0</v>
      </c>
      <c r="AY16" s="34">
        <f t="shared" si="1"/>
        <v>0</v>
      </c>
      <c r="AZ16" s="34">
        <f t="shared" si="1"/>
        <v>20571604132561</v>
      </c>
      <c r="BA16" s="34">
        <f t="shared" si="1"/>
        <v>8058572</v>
      </c>
      <c r="BB16" s="34">
        <f t="shared" si="1"/>
        <v>0</v>
      </c>
      <c r="BC16" s="34">
        <f t="shared" si="1"/>
        <v>7683219</v>
      </c>
      <c r="BD16" s="34">
        <f t="shared" si="1"/>
        <v>0</v>
      </c>
      <c r="BE16" s="34">
        <f t="shared" si="1"/>
        <v>4185333</v>
      </c>
      <c r="BF16" s="34">
        <f t="shared" si="1"/>
        <v>0</v>
      </c>
      <c r="BG16" s="34">
        <f t="shared" si="1"/>
        <v>7037718</v>
      </c>
      <c r="BH16" s="34">
        <f t="shared" si="1"/>
        <v>0</v>
      </c>
      <c r="BI16" s="34">
        <f t="shared" si="1"/>
        <v>0</v>
      </c>
    </row>
    <row r="17" ht="16.5" customHeight="1">
      <c r="A17" s="19"/>
      <c r="B17" s="35"/>
      <c r="C17" s="36"/>
      <c r="D17" s="35"/>
      <c r="E17" s="36"/>
      <c r="F17" s="35"/>
      <c r="G17" s="36"/>
      <c r="H17" s="35"/>
      <c r="I17" s="36"/>
      <c r="J17" s="35"/>
      <c r="K17" s="36"/>
      <c r="L17" s="35"/>
      <c r="M17" s="36">
        <v>9.0E7</v>
      </c>
      <c r="N17" s="35"/>
      <c r="O17" s="36"/>
      <c r="P17" s="35"/>
      <c r="Q17" s="36"/>
      <c r="R17" s="35"/>
      <c r="S17" s="36">
        <v>3.0E7</v>
      </c>
      <c r="T17" s="35"/>
      <c r="U17" s="36"/>
      <c r="V17" s="35"/>
      <c r="W17" s="36"/>
      <c r="X17" s="35"/>
      <c r="Y17" s="36"/>
      <c r="Z17" s="35"/>
      <c r="AA17" s="36"/>
      <c r="AB17" s="35"/>
      <c r="AC17" s="36"/>
      <c r="AD17" s="35"/>
      <c r="AE17" s="36"/>
      <c r="AF17" s="35"/>
      <c r="AG17" s="36"/>
      <c r="AH17" s="35"/>
      <c r="AI17" s="36"/>
      <c r="AJ17" s="35"/>
      <c r="AK17" s="36"/>
      <c r="AL17" s="35"/>
      <c r="AM17" s="36"/>
      <c r="AN17" s="35"/>
      <c r="AO17" s="36"/>
      <c r="AP17" s="35"/>
      <c r="AQ17" s="36">
        <v>7.0E7</v>
      </c>
      <c r="AR17" s="35"/>
      <c r="AS17" s="36"/>
      <c r="AT17" s="35"/>
      <c r="AU17" s="36"/>
      <c r="AV17" s="35"/>
      <c r="AW17" s="36"/>
      <c r="AX17" s="35"/>
      <c r="AY17" s="36"/>
      <c r="AZ17" s="35"/>
      <c r="BA17" s="36"/>
      <c r="BB17" s="35"/>
      <c r="BC17" s="36"/>
      <c r="BD17" s="35"/>
      <c r="BE17" s="36"/>
      <c r="BF17" s="35"/>
      <c r="BG17" s="36">
        <v>1.7E8</v>
      </c>
      <c r="BH17" s="35"/>
      <c r="BI17" s="36"/>
    </row>
    <row r="18" ht="16.5" customHeight="1">
      <c r="A18" s="37"/>
      <c r="B18" s="38">
        <f t="shared" ref="B18:BI18" si="2">B3+B16-B17</f>
        <v>0</v>
      </c>
      <c r="C18" s="38">
        <f t="shared" si="2"/>
        <v>7924693</v>
      </c>
      <c r="D18" s="38">
        <f t="shared" si="2"/>
        <v>0</v>
      </c>
      <c r="E18" s="38">
        <f t="shared" si="2"/>
        <v>9820914</v>
      </c>
      <c r="F18" s="38">
        <f t="shared" si="2"/>
        <v>0</v>
      </c>
      <c r="G18" s="38">
        <f t="shared" si="2"/>
        <v>3784850</v>
      </c>
      <c r="H18" s="38">
        <f t="shared" si="2"/>
        <v>0</v>
      </c>
      <c r="I18" s="38">
        <f t="shared" si="2"/>
        <v>7708261</v>
      </c>
      <c r="J18" s="38">
        <f t="shared" si="2"/>
        <v>0</v>
      </c>
      <c r="K18" s="38">
        <f t="shared" si="2"/>
        <v>12432686</v>
      </c>
      <c r="L18" s="38">
        <f t="shared" si="2"/>
        <v>0</v>
      </c>
      <c r="M18" s="38">
        <f t="shared" si="2"/>
        <v>198544457</v>
      </c>
      <c r="N18" s="38">
        <f t="shared" si="2"/>
        <v>0</v>
      </c>
      <c r="O18" s="38">
        <f t="shared" si="2"/>
        <v>-46000</v>
      </c>
      <c r="P18" s="38">
        <f t="shared" si="2"/>
        <v>0</v>
      </c>
      <c r="Q18" s="38">
        <f t="shared" si="2"/>
        <v>2173797</v>
      </c>
      <c r="R18" s="38">
        <f t="shared" si="2"/>
        <v>0</v>
      </c>
      <c r="S18" s="38">
        <f t="shared" si="2"/>
        <v>190243183</v>
      </c>
      <c r="T18" s="38">
        <f t="shared" si="2"/>
        <v>0</v>
      </c>
      <c r="U18" s="38">
        <f t="shared" si="2"/>
        <v>224371722</v>
      </c>
      <c r="V18" s="38">
        <f t="shared" si="2"/>
        <v>0</v>
      </c>
      <c r="W18" s="38">
        <f t="shared" si="2"/>
        <v>215477304</v>
      </c>
      <c r="X18" s="38">
        <f t="shared" si="2"/>
        <v>0</v>
      </c>
      <c r="Y18" s="38">
        <f t="shared" si="2"/>
        <v>215793676</v>
      </c>
      <c r="Z18" s="38">
        <f t="shared" si="2"/>
        <v>0</v>
      </c>
      <c r="AA18" s="38">
        <f t="shared" si="2"/>
        <v>224079713</v>
      </c>
      <c r="AB18" s="38">
        <f t="shared" si="2"/>
        <v>0</v>
      </c>
      <c r="AC18" s="38">
        <f t="shared" si="2"/>
        <v>225073581</v>
      </c>
      <c r="AD18" s="38">
        <f t="shared" si="2"/>
        <v>0</v>
      </c>
      <c r="AE18" s="38">
        <f t="shared" si="2"/>
        <v>225075239</v>
      </c>
      <c r="AF18" s="38">
        <f t="shared" si="2"/>
        <v>0</v>
      </c>
      <c r="AG18" s="38">
        <f t="shared" si="2"/>
        <v>248398864</v>
      </c>
      <c r="AH18" s="38">
        <f t="shared" si="2"/>
        <v>0</v>
      </c>
      <c r="AI18" s="38">
        <f t="shared" si="2"/>
        <v>261818420</v>
      </c>
      <c r="AJ18" s="38">
        <f t="shared" si="2"/>
        <v>0</v>
      </c>
      <c r="AK18" s="38">
        <f t="shared" si="2"/>
        <v>268210528</v>
      </c>
      <c r="AL18" s="38">
        <f t="shared" si="2"/>
        <v>0</v>
      </c>
      <c r="AM18" s="38">
        <f t="shared" si="2"/>
        <v>274317628</v>
      </c>
      <c r="AN18" s="38">
        <f t="shared" si="2"/>
        <v>0</v>
      </c>
      <c r="AO18" s="38">
        <f t="shared" si="2"/>
        <v>303899915</v>
      </c>
      <c r="AP18" s="38">
        <f t="shared" si="2"/>
        <v>0</v>
      </c>
      <c r="AQ18" s="38">
        <f t="shared" si="2"/>
        <v>239338092</v>
      </c>
      <c r="AR18" s="38">
        <f t="shared" si="2"/>
        <v>0</v>
      </c>
      <c r="AS18" s="38">
        <f t="shared" si="2"/>
        <v>243625665</v>
      </c>
      <c r="AT18" s="38">
        <f t="shared" si="2"/>
        <v>0</v>
      </c>
      <c r="AU18" s="38">
        <f t="shared" si="2"/>
        <v>320002257</v>
      </c>
      <c r="AV18" s="38">
        <f t="shared" si="2"/>
        <v>0</v>
      </c>
      <c r="AW18" s="38">
        <f t="shared" si="2"/>
        <v>362200008</v>
      </c>
      <c r="AX18" s="38">
        <f t="shared" si="2"/>
        <v>0</v>
      </c>
      <c r="AY18" s="38">
        <f t="shared" si="2"/>
        <v>0</v>
      </c>
      <c r="AZ18" s="38">
        <f t="shared" si="2"/>
        <v>20571604132561</v>
      </c>
      <c r="BA18" s="38">
        <f t="shared" si="2"/>
        <v>370258580</v>
      </c>
      <c r="BB18" s="38">
        <f t="shared" si="2"/>
        <v>0</v>
      </c>
      <c r="BC18" s="38">
        <f t="shared" si="2"/>
        <v>377941799</v>
      </c>
      <c r="BD18" s="38">
        <f t="shared" si="2"/>
        <v>0</v>
      </c>
      <c r="BE18" s="38">
        <f t="shared" si="2"/>
        <v>382127132</v>
      </c>
      <c r="BF18" s="38">
        <f t="shared" si="2"/>
        <v>0</v>
      </c>
      <c r="BG18" s="38">
        <f t="shared" si="2"/>
        <v>219164850</v>
      </c>
      <c r="BH18" s="38">
        <f t="shared" si="2"/>
        <v>0</v>
      </c>
      <c r="BI18" s="38">
        <f t="shared" si="2"/>
        <v>0</v>
      </c>
    </row>
    <row r="19" ht="16.5" customHeight="1"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</row>
    <row r="20" ht="16.5" customHeight="1">
      <c r="A20" s="40" t="s">
        <v>58</v>
      </c>
      <c r="B20" s="41"/>
      <c r="C20" s="42"/>
      <c r="D20" s="43"/>
      <c r="E20" s="42"/>
      <c r="F20" s="43"/>
      <c r="G20" s="44"/>
      <c r="H20" s="43"/>
      <c r="I20" s="44">
        <v>2.19779696E8</v>
      </c>
      <c r="J20" s="43"/>
      <c r="K20" s="44"/>
      <c r="L20" s="43"/>
      <c r="M20" s="44">
        <v>2.18453346E8</v>
      </c>
      <c r="N20" s="43"/>
      <c r="O20" s="44"/>
      <c r="P20" s="43"/>
      <c r="Q20" s="44">
        <v>2.17188787E8</v>
      </c>
      <c r="R20" s="43"/>
      <c r="S20" s="44">
        <v>2.16738787E8</v>
      </c>
      <c r="T20" s="43"/>
      <c r="U20" s="44">
        <v>2.40389417E8</v>
      </c>
      <c r="V20" s="43"/>
      <c r="W20" s="44">
        <v>2.40389417E8</v>
      </c>
      <c r="X20" s="43"/>
      <c r="Y20" s="44">
        <v>2.13687807E8</v>
      </c>
      <c r="Z20" s="43"/>
      <c r="AA20" s="44">
        <v>2.13627807E8</v>
      </c>
      <c r="AB20" s="43"/>
      <c r="AC20" s="44"/>
      <c r="AD20" s="43"/>
      <c r="AE20" s="42">
        <v>1.98912067E8</v>
      </c>
      <c r="AF20" s="43"/>
      <c r="AG20" s="42">
        <v>2.01966621E8</v>
      </c>
      <c r="AH20" s="43"/>
      <c r="AI20" s="42">
        <v>1.85121157E8</v>
      </c>
      <c r="AJ20" s="43"/>
      <c r="AK20" s="42"/>
      <c r="AL20" s="43"/>
      <c r="AM20" s="42"/>
      <c r="AN20" s="43"/>
      <c r="AO20" s="42">
        <v>1.80121157E8</v>
      </c>
      <c r="AP20" s="43"/>
      <c r="AQ20" s="42">
        <v>1.80101157E8</v>
      </c>
      <c r="AR20" s="43"/>
      <c r="AS20" s="42">
        <v>2.11450557E8</v>
      </c>
      <c r="AT20" s="43"/>
      <c r="AU20" s="42"/>
      <c r="AV20" s="43"/>
      <c r="AW20" s="42">
        <v>2.11150557E8</v>
      </c>
      <c r="AX20" s="43"/>
      <c r="AY20" s="42">
        <v>1.83450997E8</v>
      </c>
      <c r="AZ20" s="43"/>
      <c r="BA20" s="42">
        <v>1.83443108E8</v>
      </c>
      <c r="BB20" s="43"/>
      <c r="BC20" s="42">
        <v>1.74345257E8</v>
      </c>
      <c r="BD20" s="43"/>
      <c r="BE20" s="42">
        <v>1.74225517E8</v>
      </c>
      <c r="BF20" s="43"/>
      <c r="BG20" s="42">
        <v>1.73767597E8</v>
      </c>
      <c r="BH20" s="43"/>
      <c r="BI20" s="42">
        <v>2.50171047E8</v>
      </c>
    </row>
    <row r="21" ht="16.5" customHeight="1">
      <c r="A21" s="19"/>
      <c r="B21" s="45"/>
      <c r="C21" s="46"/>
      <c r="D21" s="47"/>
      <c r="E21" s="46"/>
      <c r="F21" s="47"/>
      <c r="G21" s="46"/>
      <c r="H21" s="47"/>
      <c r="I21" s="46"/>
      <c r="J21" s="47"/>
      <c r="K21" s="46"/>
      <c r="L21" s="47"/>
      <c r="M21" s="46">
        <v>9.0E7</v>
      </c>
      <c r="N21" s="47"/>
      <c r="O21" s="46"/>
      <c r="P21" s="47"/>
      <c r="Q21" s="46"/>
      <c r="R21" s="47"/>
      <c r="S21" s="46">
        <v>3.0E7</v>
      </c>
      <c r="T21" s="47"/>
      <c r="U21" s="46"/>
      <c r="V21" s="47"/>
      <c r="W21" s="46"/>
      <c r="X21" s="47"/>
      <c r="Y21" s="46"/>
      <c r="Z21" s="47"/>
      <c r="AA21" s="46"/>
      <c r="AB21" s="47"/>
      <c r="AC21" s="46"/>
      <c r="AD21" s="47"/>
      <c r="AE21" s="46"/>
      <c r="AF21" s="47"/>
      <c r="AG21" s="46"/>
      <c r="AH21" s="47"/>
      <c r="AI21" s="46"/>
      <c r="AJ21" s="47"/>
      <c r="AK21" s="46"/>
      <c r="AL21" s="47"/>
      <c r="AM21" s="46"/>
      <c r="AN21" s="47"/>
      <c r="AO21" s="46"/>
      <c r="AP21" s="47"/>
      <c r="AQ21" s="46">
        <v>7.0E7</v>
      </c>
      <c r="AR21" s="47"/>
      <c r="AS21" s="46"/>
      <c r="AT21" s="47"/>
      <c r="AU21" s="46"/>
      <c r="AV21" s="47"/>
      <c r="AW21" s="46"/>
      <c r="AX21" s="47"/>
      <c r="AY21" s="46"/>
      <c r="AZ21" s="47"/>
      <c r="BA21" s="46"/>
      <c r="BB21" s="47"/>
      <c r="BC21" s="46"/>
      <c r="BD21" s="47"/>
      <c r="BE21" s="46"/>
      <c r="BF21" s="47"/>
      <c r="BG21" s="46">
        <v>1.7E8</v>
      </c>
      <c r="BH21" s="47"/>
      <c r="BI21" s="46"/>
    </row>
    <row r="22" ht="16.5" customHeight="1">
      <c r="A22" s="19"/>
      <c r="B22" s="27"/>
      <c r="C22" s="28"/>
      <c r="D22" s="48" t="s">
        <v>59</v>
      </c>
      <c r="E22" s="49">
        <v>17520.0</v>
      </c>
      <c r="F22" s="50"/>
      <c r="G22" s="29"/>
      <c r="H22" s="48" t="s">
        <v>60</v>
      </c>
      <c r="I22" s="51">
        <v>82000.0</v>
      </c>
      <c r="J22" s="50" t="s">
        <v>61</v>
      </c>
      <c r="K22" s="29">
        <v>-261060.0</v>
      </c>
      <c r="L22" s="50" t="s">
        <v>62</v>
      </c>
      <c r="M22" s="29">
        <v>7.4515102E7</v>
      </c>
      <c r="N22" s="50"/>
      <c r="O22" s="29"/>
      <c r="P22" s="48" t="s">
        <v>63</v>
      </c>
      <c r="Q22" s="51">
        <v>450000.0</v>
      </c>
      <c r="R22" s="50" t="s">
        <v>64</v>
      </c>
      <c r="S22" s="29">
        <v>3962130.0</v>
      </c>
      <c r="T22" s="52"/>
      <c r="U22" s="14"/>
      <c r="V22" s="50" t="s">
        <v>65</v>
      </c>
      <c r="W22" s="29">
        <v>511550.0</v>
      </c>
      <c r="X22" s="53" t="s">
        <v>66</v>
      </c>
      <c r="Y22" s="54">
        <v>60000.0</v>
      </c>
      <c r="Z22" s="50" t="s">
        <v>67</v>
      </c>
      <c r="AA22" s="29">
        <v>171000.0</v>
      </c>
      <c r="AB22" s="50"/>
      <c r="AC22" s="29"/>
      <c r="AD22" s="50" t="s">
        <v>68</v>
      </c>
      <c r="AE22" s="28">
        <v>-54554.0</v>
      </c>
      <c r="AF22" s="50" t="s">
        <v>69</v>
      </c>
      <c r="AG22" s="28">
        <v>1.6231884E7</v>
      </c>
      <c r="AH22" s="50" t="s">
        <v>70</v>
      </c>
      <c r="AI22" s="28">
        <v>5000000.0</v>
      </c>
      <c r="AJ22" s="50"/>
      <c r="AK22" s="28"/>
      <c r="AL22" s="50"/>
      <c r="AM22" s="28"/>
      <c r="AN22" s="50" t="s">
        <v>71</v>
      </c>
      <c r="AO22" s="28">
        <v>20000.0</v>
      </c>
      <c r="AP22" s="48" t="s">
        <v>72</v>
      </c>
      <c r="AQ22" s="49">
        <v>3.8E7</v>
      </c>
      <c r="AR22" s="50" t="s">
        <v>73</v>
      </c>
      <c r="AS22" s="28">
        <v>300000.0</v>
      </c>
      <c r="AT22" s="50"/>
      <c r="AU22" s="28"/>
      <c r="AV22" s="50" t="s">
        <v>74</v>
      </c>
      <c r="AW22" s="28">
        <v>2.0E7</v>
      </c>
      <c r="AX22" s="50" t="s">
        <v>75</v>
      </c>
      <c r="AY22" s="28">
        <v>7890.0</v>
      </c>
      <c r="AZ22" s="50">
        <v>8.119900006913E12</v>
      </c>
      <c r="BA22" s="28">
        <v>1600000.0</v>
      </c>
      <c r="BB22" s="50" t="s">
        <v>76</v>
      </c>
      <c r="BC22" s="28">
        <v>119740.0</v>
      </c>
      <c r="BD22" s="48" t="s">
        <v>77</v>
      </c>
      <c r="BE22" s="28">
        <v>220000.0</v>
      </c>
      <c r="BF22" s="50" t="s">
        <v>76</v>
      </c>
      <c r="BG22" s="28">
        <v>119740.0</v>
      </c>
      <c r="BH22" s="50" t="s">
        <v>78</v>
      </c>
      <c r="BI22" s="28">
        <v>169400.0</v>
      </c>
    </row>
    <row r="23" ht="16.5" customHeight="1">
      <c r="A23" s="19"/>
      <c r="B23" s="27"/>
      <c r="C23" s="28"/>
      <c r="D23" s="48" t="s">
        <v>79</v>
      </c>
      <c r="E23" s="49">
        <v>199000.0</v>
      </c>
      <c r="F23" s="50"/>
      <c r="G23" s="29"/>
      <c r="H23" s="48" t="s">
        <v>80</v>
      </c>
      <c r="I23" s="51">
        <v>75410.0</v>
      </c>
      <c r="J23" s="50"/>
      <c r="K23" s="29"/>
      <c r="L23" s="55" t="s">
        <v>81</v>
      </c>
      <c r="M23" s="56">
        <v>1992020.0</v>
      </c>
      <c r="N23" s="50"/>
      <c r="O23" s="29"/>
      <c r="P23" s="50"/>
      <c r="Q23" s="29"/>
      <c r="R23" s="50" t="s">
        <v>64</v>
      </c>
      <c r="S23" s="29">
        <v>654310.0</v>
      </c>
      <c r="T23" s="52"/>
      <c r="U23" s="14"/>
      <c r="V23" s="50" t="s">
        <v>82</v>
      </c>
      <c r="W23" s="29">
        <v>1360900.0</v>
      </c>
      <c r="X23" s="50"/>
      <c r="Y23" s="29"/>
      <c r="Z23" s="50" t="s">
        <v>76</v>
      </c>
      <c r="AA23" s="29">
        <v>59870.0</v>
      </c>
      <c r="AB23" s="50"/>
      <c r="AC23" s="29"/>
      <c r="AD23" s="48" t="s">
        <v>83</v>
      </c>
      <c r="AE23" s="49">
        <v>-3000000.0</v>
      </c>
      <c r="AF23" s="50" t="s">
        <v>84</v>
      </c>
      <c r="AG23" s="28">
        <v>613580.0</v>
      </c>
      <c r="AH23" s="50"/>
      <c r="AI23" s="28"/>
      <c r="AJ23" s="50"/>
      <c r="AK23" s="28"/>
      <c r="AL23" s="50"/>
      <c r="AM23" s="28"/>
      <c r="AN23" s="50"/>
      <c r="AO23" s="28"/>
      <c r="AP23" s="50" t="s">
        <v>85</v>
      </c>
      <c r="AQ23" s="28">
        <v>34760.0</v>
      </c>
      <c r="AR23" s="50"/>
      <c r="AS23" s="28"/>
      <c r="AT23" s="50"/>
      <c r="AU23" s="28"/>
      <c r="AV23" s="50" t="s">
        <v>74</v>
      </c>
      <c r="AW23" s="28">
        <v>6000000.0</v>
      </c>
      <c r="AX23" s="52"/>
      <c r="AY23" s="13"/>
      <c r="AZ23" s="50" t="s">
        <v>86</v>
      </c>
      <c r="BA23" s="28">
        <v>398170.0</v>
      </c>
      <c r="BB23" s="50"/>
      <c r="BC23" s="28"/>
      <c r="BD23" s="50" t="s">
        <v>87</v>
      </c>
      <c r="BE23" s="28">
        <v>-20000.0</v>
      </c>
      <c r="BF23" s="50" t="s">
        <v>88</v>
      </c>
      <c r="BG23" s="28">
        <v>3.85E7</v>
      </c>
      <c r="BH23" s="50" t="s">
        <v>89</v>
      </c>
      <c r="BI23" s="28">
        <v>228000.0</v>
      </c>
    </row>
    <row r="24" ht="16.5" customHeight="1">
      <c r="A24" s="19"/>
      <c r="B24" s="27"/>
      <c r="C24" s="28"/>
      <c r="D24" s="50"/>
      <c r="E24" s="28"/>
      <c r="F24" s="50"/>
      <c r="G24" s="29"/>
      <c r="H24" s="48" t="s">
        <v>90</v>
      </c>
      <c r="I24" s="51">
        <v>900000.0</v>
      </c>
      <c r="J24" s="50"/>
      <c r="K24" s="29"/>
      <c r="L24" s="55" t="s">
        <v>91</v>
      </c>
      <c r="M24" s="56">
        <v>1934000.0</v>
      </c>
      <c r="N24" s="50"/>
      <c r="O24" s="29"/>
      <c r="P24" s="50"/>
      <c r="Q24" s="29"/>
      <c r="R24" s="50" t="s">
        <v>92</v>
      </c>
      <c r="S24" s="29">
        <v>461530.0</v>
      </c>
      <c r="T24" s="52"/>
      <c r="U24" s="14"/>
      <c r="V24" s="50" t="s">
        <v>93</v>
      </c>
      <c r="W24" s="29">
        <v>6007900.0</v>
      </c>
      <c r="X24" s="50"/>
      <c r="Y24" s="29"/>
      <c r="Z24" s="50" t="s">
        <v>76</v>
      </c>
      <c r="AA24" s="29">
        <v>59870.0</v>
      </c>
      <c r="AB24" s="50"/>
      <c r="AC24" s="29"/>
      <c r="AD24" s="50"/>
      <c r="AE24" s="28"/>
      <c r="AF24" s="50"/>
      <c r="AG24" s="28"/>
      <c r="AH24" s="50"/>
      <c r="AI24" s="28"/>
      <c r="AJ24" s="50"/>
      <c r="AK24" s="28"/>
      <c r="AL24" s="50"/>
      <c r="AM24" s="28"/>
      <c r="AN24" s="50"/>
      <c r="AO24" s="28"/>
      <c r="AP24" s="50" t="s">
        <v>94</v>
      </c>
      <c r="AQ24" s="28">
        <v>289760.0</v>
      </c>
      <c r="AR24" s="50"/>
      <c r="AS24" s="28"/>
      <c r="AT24" s="50"/>
      <c r="AU24" s="28"/>
      <c r="AV24" s="50" t="s">
        <v>95</v>
      </c>
      <c r="AW24" s="28">
        <v>1630560.0</v>
      </c>
      <c r="AX24" s="52"/>
      <c r="AY24" s="13"/>
      <c r="AZ24" s="50" t="s">
        <v>96</v>
      </c>
      <c r="BA24" s="28">
        <v>57230.0</v>
      </c>
      <c r="BB24" s="50"/>
      <c r="BC24" s="28"/>
      <c r="BD24" s="50" t="s">
        <v>97</v>
      </c>
      <c r="BE24" s="28">
        <v>257920.0</v>
      </c>
      <c r="BF24" s="50" t="s">
        <v>98</v>
      </c>
      <c r="BG24" s="28">
        <v>5314190.0</v>
      </c>
      <c r="BH24" s="50" t="s">
        <v>99</v>
      </c>
      <c r="BI24" s="28">
        <v>1080200.0</v>
      </c>
    </row>
    <row r="25" ht="16.5" customHeight="1">
      <c r="A25" s="19"/>
      <c r="B25" s="27"/>
      <c r="C25" s="28"/>
      <c r="D25" s="50"/>
      <c r="E25" s="28"/>
      <c r="F25" s="50"/>
      <c r="G25" s="29"/>
      <c r="H25" s="48" t="s">
        <v>100</v>
      </c>
      <c r="I25" s="51">
        <v>530000.0</v>
      </c>
      <c r="J25" s="50"/>
      <c r="K25" s="29"/>
      <c r="L25" s="55" t="s">
        <v>101</v>
      </c>
      <c r="M25" s="56">
        <v>967000.0</v>
      </c>
      <c r="N25" s="50"/>
      <c r="O25" s="29"/>
      <c r="P25" s="50"/>
      <c r="Q25" s="29"/>
      <c r="R25" s="50" t="s">
        <v>102</v>
      </c>
      <c r="S25" s="29">
        <v>-8600.0</v>
      </c>
      <c r="T25" s="52"/>
      <c r="U25" s="14"/>
      <c r="V25" s="50" t="s">
        <v>103</v>
      </c>
      <c r="W25" s="29">
        <v>1.145126E7</v>
      </c>
      <c r="X25" s="50"/>
      <c r="Y25" s="29"/>
      <c r="Z25" s="48" t="s">
        <v>104</v>
      </c>
      <c r="AA25" s="51">
        <v>125000.0</v>
      </c>
      <c r="AB25" s="50"/>
      <c r="AC25" s="29"/>
      <c r="AD25" s="50"/>
      <c r="AE25" s="28"/>
      <c r="AF25" s="50"/>
      <c r="AG25" s="28"/>
      <c r="AH25" s="50"/>
      <c r="AI25" s="28"/>
      <c r="AJ25" s="50"/>
      <c r="AK25" s="28"/>
      <c r="AL25" s="50"/>
      <c r="AM25" s="28"/>
      <c r="AN25" s="50"/>
      <c r="AO25" s="28"/>
      <c r="AP25" s="50" t="s">
        <v>96</v>
      </c>
      <c r="AQ25" s="28">
        <v>22000.0</v>
      </c>
      <c r="AR25" s="50"/>
      <c r="AS25" s="28"/>
      <c r="AT25" s="50"/>
      <c r="AU25" s="28"/>
      <c r="AV25" s="48" t="s">
        <v>105</v>
      </c>
      <c r="AW25" s="49">
        <v>69000.0</v>
      </c>
      <c r="AX25" s="52"/>
      <c r="AY25" s="13"/>
      <c r="AZ25" s="50" t="s">
        <v>106</v>
      </c>
      <c r="BA25" s="28">
        <v>1950.0</v>
      </c>
      <c r="BB25" s="50"/>
      <c r="BC25" s="28"/>
      <c r="BD25" s="50"/>
      <c r="BE25" s="28"/>
      <c r="BF25" s="50" t="s">
        <v>107</v>
      </c>
      <c r="BG25" s="28">
        <v>2269300.0</v>
      </c>
      <c r="BH25" s="50" t="s">
        <v>108</v>
      </c>
      <c r="BI25" s="28">
        <v>165000.0</v>
      </c>
    </row>
    <row r="26" ht="16.5" customHeight="1">
      <c r="A26" s="19"/>
      <c r="B26" s="27"/>
      <c r="C26" s="28"/>
      <c r="D26" s="50"/>
      <c r="E26" s="28"/>
      <c r="F26" s="50"/>
      <c r="G26" s="29"/>
      <c r="H26" s="50"/>
      <c r="I26" s="29"/>
      <c r="J26" s="50"/>
      <c r="K26" s="29"/>
      <c r="L26" s="55" t="s">
        <v>109</v>
      </c>
      <c r="M26" s="56">
        <v>174060.0</v>
      </c>
      <c r="N26" s="50"/>
      <c r="O26" s="29"/>
      <c r="P26" s="50"/>
      <c r="Q26" s="29"/>
      <c r="R26" s="48" t="s">
        <v>110</v>
      </c>
      <c r="S26" s="51">
        <v>1280000.0</v>
      </c>
      <c r="T26" s="52"/>
      <c r="U26" s="14"/>
      <c r="V26" s="48" t="s">
        <v>111</v>
      </c>
      <c r="W26" s="51">
        <v>7370000.0</v>
      </c>
      <c r="X26" s="50"/>
      <c r="Y26" s="29"/>
      <c r="Z26" s="48" t="s">
        <v>112</v>
      </c>
      <c r="AA26" s="51">
        <v>1.43E7</v>
      </c>
      <c r="AB26" s="50"/>
      <c r="AC26" s="29"/>
      <c r="AD26" s="50"/>
      <c r="AE26" s="28"/>
      <c r="AF26" s="50"/>
      <c r="AG26" s="28"/>
      <c r="AH26" s="50"/>
      <c r="AI26" s="28"/>
      <c r="AJ26" s="50"/>
      <c r="AK26" s="28"/>
      <c r="AL26" s="50"/>
      <c r="AM26" s="28"/>
      <c r="AN26" s="50"/>
      <c r="AO26" s="28"/>
      <c r="AP26" s="50" t="s">
        <v>113</v>
      </c>
      <c r="AQ26" s="28">
        <v>38150.0</v>
      </c>
      <c r="AR26" s="50"/>
      <c r="AS26" s="28"/>
      <c r="AT26" s="50"/>
      <c r="AU26" s="28"/>
      <c r="AV26" s="50"/>
      <c r="AW26" s="28"/>
      <c r="AX26" s="52"/>
      <c r="AY26" s="13"/>
      <c r="AZ26" s="50" t="s">
        <v>114</v>
      </c>
      <c r="BA26" s="28">
        <v>74900.0</v>
      </c>
      <c r="BB26" s="50"/>
      <c r="BC26" s="28"/>
      <c r="BD26" s="50"/>
      <c r="BE26" s="28"/>
      <c r="BF26" s="50" t="s">
        <v>115</v>
      </c>
      <c r="BG26" s="28">
        <v>1.87E7</v>
      </c>
      <c r="BH26" s="50" t="s">
        <v>116</v>
      </c>
      <c r="BI26" s="28">
        <v>1100000.0</v>
      </c>
    </row>
    <row r="27" ht="16.5" customHeight="1">
      <c r="A27" s="19"/>
      <c r="B27" s="27"/>
      <c r="C27" s="28"/>
      <c r="D27" s="50"/>
      <c r="E27" s="28"/>
      <c r="F27" s="50"/>
      <c r="G27" s="29"/>
      <c r="H27" s="50"/>
      <c r="I27" s="29"/>
      <c r="J27" s="50"/>
      <c r="K27" s="29"/>
      <c r="L27" s="55" t="s">
        <v>117</v>
      </c>
      <c r="M27" s="56">
        <v>2305570.0</v>
      </c>
      <c r="N27" s="50"/>
      <c r="O27" s="29"/>
      <c r="P27" s="50"/>
      <c r="Q27" s="29"/>
      <c r="R27" s="50"/>
      <c r="S27" s="29"/>
      <c r="T27" s="52"/>
      <c r="U27" s="14"/>
      <c r="V27" s="50"/>
      <c r="W27" s="29"/>
      <c r="X27" s="50"/>
      <c r="Y27" s="29"/>
      <c r="Z27" s="50"/>
      <c r="AA27" s="29"/>
      <c r="AB27" s="50"/>
      <c r="AC27" s="29"/>
      <c r="AD27" s="50"/>
      <c r="AE27" s="28"/>
      <c r="AF27" s="50"/>
      <c r="AG27" s="28"/>
      <c r="AH27" s="50"/>
      <c r="AI27" s="28"/>
      <c r="AJ27" s="50"/>
      <c r="AK27" s="28"/>
      <c r="AL27" s="50"/>
      <c r="AM27" s="28"/>
      <c r="AN27" s="50"/>
      <c r="AO27" s="28"/>
      <c r="AP27" s="50" t="s">
        <v>118</v>
      </c>
      <c r="AQ27" s="28">
        <v>11000.0</v>
      </c>
      <c r="AR27" s="50"/>
      <c r="AS27" s="28"/>
      <c r="AT27" s="50"/>
      <c r="AU27" s="28"/>
      <c r="AV27" s="50"/>
      <c r="AW27" s="28"/>
      <c r="AX27" s="52"/>
      <c r="AY27" s="13"/>
      <c r="AZ27" s="50" t="s">
        <v>96</v>
      </c>
      <c r="BA27" s="28">
        <v>55350.0</v>
      </c>
      <c r="BB27" s="50"/>
      <c r="BC27" s="28"/>
      <c r="BD27" s="50"/>
      <c r="BE27" s="28"/>
      <c r="BF27" s="50" t="s">
        <v>119</v>
      </c>
      <c r="BG27" s="28">
        <v>2.0E7</v>
      </c>
      <c r="BH27" s="50" t="s">
        <v>120</v>
      </c>
      <c r="BI27" s="28">
        <v>232900.0</v>
      </c>
    </row>
    <row r="28" ht="16.5" customHeight="1">
      <c r="A28" s="19"/>
      <c r="B28" s="27"/>
      <c r="C28" s="28"/>
      <c r="D28" s="50"/>
      <c r="E28" s="28"/>
      <c r="F28" s="50"/>
      <c r="G28" s="29"/>
      <c r="H28" s="50"/>
      <c r="I28" s="29"/>
      <c r="J28" s="50"/>
      <c r="K28" s="29"/>
      <c r="L28" s="55" t="s">
        <v>121</v>
      </c>
      <c r="M28" s="56">
        <v>790523.0</v>
      </c>
      <c r="N28" s="50"/>
      <c r="O28" s="29"/>
      <c r="P28" s="50"/>
      <c r="Q28" s="29"/>
      <c r="R28" s="50"/>
      <c r="S28" s="29"/>
      <c r="T28" s="52"/>
      <c r="U28" s="14"/>
      <c r="V28" s="50"/>
      <c r="W28" s="29"/>
      <c r="X28" s="50"/>
      <c r="Y28" s="29"/>
      <c r="Z28" s="50"/>
      <c r="AA28" s="29"/>
      <c r="AB28" s="50"/>
      <c r="AC28" s="29"/>
      <c r="AD28" s="50"/>
      <c r="AE28" s="28"/>
      <c r="AF28" s="50"/>
      <c r="AG28" s="28"/>
      <c r="AH28" s="50"/>
      <c r="AI28" s="28"/>
      <c r="AJ28" s="50"/>
      <c r="AK28" s="28"/>
      <c r="AL28" s="50"/>
      <c r="AM28" s="28"/>
      <c r="AN28" s="50"/>
      <c r="AO28" s="28"/>
      <c r="AP28" s="50" t="s">
        <v>122</v>
      </c>
      <c r="AQ28" s="28">
        <v>4130.0</v>
      </c>
      <c r="AR28" s="50"/>
      <c r="AS28" s="28"/>
      <c r="AT28" s="50"/>
      <c r="AU28" s="28"/>
      <c r="AV28" s="50"/>
      <c r="AW28" s="28"/>
      <c r="AX28" s="52"/>
      <c r="AY28" s="13"/>
      <c r="AZ28" s="50" t="s">
        <v>123</v>
      </c>
      <c r="BA28" s="28">
        <v>152230.0</v>
      </c>
      <c r="BB28" s="50"/>
      <c r="BC28" s="28"/>
      <c r="BD28" s="50"/>
      <c r="BE28" s="28"/>
      <c r="BF28" s="50" t="s">
        <v>124</v>
      </c>
      <c r="BG28" s="28">
        <v>550000.0</v>
      </c>
      <c r="BH28" s="50" t="s">
        <v>125</v>
      </c>
      <c r="BI28" s="28">
        <v>110000.0</v>
      </c>
    </row>
    <row r="29" ht="16.5" customHeight="1">
      <c r="A29" s="19"/>
      <c r="B29" s="27"/>
      <c r="C29" s="28"/>
      <c r="D29" s="50"/>
      <c r="E29" s="28"/>
      <c r="F29" s="50"/>
      <c r="G29" s="29"/>
      <c r="H29" s="50"/>
      <c r="I29" s="29"/>
      <c r="J29" s="50"/>
      <c r="K29" s="29"/>
      <c r="L29" s="55" t="s">
        <v>126</v>
      </c>
      <c r="M29" s="56">
        <v>1914660.0</v>
      </c>
      <c r="N29" s="50"/>
      <c r="O29" s="29"/>
      <c r="P29" s="50"/>
      <c r="Q29" s="29"/>
      <c r="R29" s="50"/>
      <c r="S29" s="29"/>
      <c r="T29" s="52"/>
      <c r="U29" s="14"/>
      <c r="V29" s="50"/>
      <c r="W29" s="29"/>
      <c r="X29" s="50"/>
      <c r="Y29" s="29"/>
      <c r="Z29" s="50"/>
      <c r="AA29" s="29"/>
      <c r="AB29" s="50"/>
      <c r="AC29" s="29"/>
      <c r="AD29" s="50"/>
      <c r="AE29" s="28"/>
      <c r="AF29" s="50"/>
      <c r="AG29" s="28"/>
      <c r="AH29" s="50"/>
      <c r="AI29" s="28"/>
      <c r="AJ29" s="50"/>
      <c r="AK29" s="28"/>
      <c r="AL29" s="50"/>
      <c r="AM29" s="28"/>
      <c r="AN29" s="50"/>
      <c r="AO29" s="28"/>
      <c r="AP29" s="50" t="s">
        <v>127</v>
      </c>
      <c r="AQ29" s="28">
        <v>250800.0</v>
      </c>
      <c r="AR29" s="50"/>
      <c r="AS29" s="28"/>
      <c r="AT29" s="50"/>
      <c r="AU29" s="28"/>
      <c r="AV29" s="50"/>
      <c r="AW29" s="28"/>
      <c r="AX29" s="52"/>
      <c r="AY29" s="13"/>
      <c r="AZ29" s="50" t="s">
        <v>128</v>
      </c>
      <c r="BA29" s="28">
        <v>88000.0</v>
      </c>
      <c r="BB29" s="50"/>
      <c r="BC29" s="28"/>
      <c r="BD29" s="50"/>
      <c r="BE29" s="28"/>
      <c r="BF29" s="50" t="s">
        <v>129</v>
      </c>
      <c r="BG29" s="28">
        <v>390000.0</v>
      </c>
      <c r="BH29" s="50" t="s">
        <v>130</v>
      </c>
      <c r="BI29" s="28">
        <v>121990.0</v>
      </c>
    </row>
    <row r="30" ht="16.5" customHeight="1">
      <c r="A30" s="19"/>
      <c r="B30" s="27"/>
      <c r="C30" s="28"/>
      <c r="D30" s="50"/>
      <c r="E30" s="28"/>
      <c r="F30" s="50"/>
      <c r="G30" s="29"/>
      <c r="H30" s="50"/>
      <c r="I30" s="29"/>
      <c r="J30" s="50"/>
      <c r="K30" s="29"/>
      <c r="L30" s="55" t="s">
        <v>131</v>
      </c>
      <c r="M30" s="56">
        <v>2224100.0</v>
      </c>
      <c r="N30" s="50"/>
      <c r="O30" s="29"/>
      <c r="P30" s="50"/>
      <c r="Q30" s="29"/>
      <c r="R30" s="50"/>
      <c r="S30" s="29"/>
      <c r="T30" s="50"/>
      <c r="U30" s="29"/>
      <c r="V30" s="50"/>
      <c r="W30" s="29"/>
      <c r="X30" s="50"/>
      <c r="Y30" s="29"/>
      <c r="Z30" s="50"/>
      <c r="AA30" s="29"/>
      <c r="AB30" s="50"/>
      <c r="AC30" s="29"/>
      <c r="AD30" s="50"/>
      <c r="AE30" s="28"/>
      <c r="AF30" s="50"/>
      <c r="AG30" s="28"/>
      <c r="AH30" s="50"/>
      <c r="AI30" s="28"/>
      <c r="AJ30" s="50"/>
      <c r="AK30" s="28"/>
      <c r="AL30" s="50"/>
      <c r="AM30" s="28"/>
      <c r="AN30" s="50"/>
      <c r="AO30" s="28"/>
      <c r="AP30" s="50"/>
      <c r="AQ30" s="28"/>
      <c r="AR30" s="50"/>
      <c r="AS30" s="28"/>
      <c r="AT30" s="50"/>
      <c r="AU30" s="28"/>
      <c r="AV30" s="50"/>
      <c r="AW30" s="28"/>
      <c r="AX30" s="50"/>
      <c r="AY30" s="28"/>
      <c r="AZ30" s="50" t="s">
        <v>132</v>
      </c>
      <c r="BA30" s="28">
        <v>4098530.0</v>
      </c>
      <c r="BB30" s="50"/>
      <c r="BC30" s="28"/>
      <c r="BD30" s="50"/>
      <c r="BE30" s="28"/>
      <c r="BF30" s="50" t="s">
        <v>133</v>
      </c>
      <c r="BG30" s="28">
        <v>3011270.0</v>
      </c>
      <c r="BH30" s="50" t="s">
        <v>134</v>
      </c>
      <c r="BI30" s="28">
        <v>155000.0</v>
      </c>
    </row>
    <row r="31" ht="16.5" customHeight="1">
      <c r="A31" s="19"/>
      <c r="B31" s="27"/>
      <c r="C31" s="28"/>
      <c r="D31" s="50"/>
      <c r="E31" s="28"/>
      <c r="F31" s="50"/>
      <c r="G31" s="29"/>
      <c r="H31" s="50"/>
      <c r="I31" s="29"/>
      <c r="J31" s="50"/>
      <c r="K31" s="29"/>
      <c r="L31" s="52" t="s">
        <v>135</v>
      </c>
      <c r="M31" s="14">
        <v>1320000.0</v>
      </c>
      <c r="N31" s="50"/>
      <c r="O31" s="29"/>
      <c r="P31" s="50"/>
      <c r="Q31" s="29"/>
      <c r="R31" s="50"/>
      <c r="S31" s="29"/>
      <c r="T31" s="50"/>
      <c r="U31" s="29"/>
      <c r="V31" s="50"/>
      <c r="W31" s="29"/>
      <c r="X31" s="50"/>
      <c r="Y31" s="29"/>
      <c r="Z31" s="50"/>
      <c r="AA31" s="29"/>
      <c r="AB31" s="50"/>
      <c r="AC31" s="29"/>
      <c r="AD31" s="50"/>
      <c r="AE31" s="28"/>
      <c r="AF31" s="50"/>
      <c r="AG31" s="28"/>
      <c r="AH31" s="50"/>
      <c r="AI31" s="28"/>
      <c r="AJ31" s="50"/>
      <c r="AK31" s="28"/>
      <c r="AL31" s="50"/>
      <c r="AM31" s="28"/>
      <c r="AN31" s="50"/>
      <c r="AO31" s="28"/>
      <c r="AP31" s="50"/>
      <c r="AQ31" s="28"/>
      <c r="AR31" s="50"/>
      <c r="AS31" s="28"/>
      <c r="AT31" s="50"/>
      <c r="AU31" s="28"/>
      <c r="AV31" s="50"/>
      <c r="AW31" s="28"/>
      <c r="AX31" s="50"/>
      <c r="AY31" s="28"/>
      <c r="AZ31" s="50" t="s">
        <v>136</v>
      </c>
      <c r="BA31" s="28">
        <v>2571491.0</v>
      </c>
      <c r="BB31" s="50"/>
      <c r="BC31" s="28"/>
      <c r="BD31" s="50"/>
      <c r="BE31" s="28"/>
      <c r="BF31" s="50" t="s">
        <v>137</v>
      </c>
      <c r="BG31" s="28">
        <v>1983200.0</v>
      </c>
      <c r="BH31" s="50" t="s">
        <v>138</v>
      </c>
      <c r="BI31" s="28">
        <v>204000.0</v>
      </c>
    </row>
    <row r="32" ht="16.5" customHeight="1">
      <c r="A32" s="19"/>
      <c r="B32" s="27"/>
      <c r="C32" s="28"/>
      <c r="D32" s="50"/>
      <c r="E32" s="28"/>
      <c r="F32" s="50"/>
      <c r="G32" s="29"/>
      <c r="H32" s="50"/>
      <c r="I32" s="29"/>
      <c r="J32" s="50"/>
      <c r="K32" s="29"/>
      <c r="L32" s="55" t="s">
        <v>139</v>
      </c>
      <c r="M32" s="56">
        <v>1300000.0</v>
      </c>
      <c r="N32" s="50"/>
      <c r="O32" s="29"/>
      <c r="P32" s="50"/>
      <c r="Q32" s="29"/>
      <c r="R32" s="50"/>
      <c r="S32" s="29"/>
      <c r="T32" s="50"/>
      <c r="U32" s="29"/>
      <c r="V32" s="50"/>
      <c r="W32" s="29"/>
      <c r="X32" s="50"/>
      <c r="Y32" s="29"/>
      <c r="Z32" s="50"/>
      <c r="AA32" s="29"/>
      <c r="AB32" s="50"/>
      <c r="AC32" s="29"/>
      <c r="AD32" s="50"/>
      <c r="AE32" s="28"/>
      <c r="AF32" s="50"/>
      <c r="AG32" s="28"/>
      <c r="AH32" s="50"/>
      <c r="AI32" s="28"/>
      <c r="AJ32" s="50"/>
      <c r="AK32" s="28"/>
      <c r="AL32" s="50"/>
      <c r="AM32" s="28"/>
      <c r="AN32" s="50"/>
      <c r="AO32" s="28"/>
      <c r="AP32" s="50"/>
      <c r="AQ32" s="28"/>
      <c r="AR32" s="50"/>
      <c r="AS32" s="28"/>
      <c r="AT32" s="50"/>
      <c r="AU32" s="28"/>
      <c r="AV32" s="50"/>
      <c r="AW32" s="28"/>
      <c r="AX32" s="50"/>
      <c r="AY32" s="28"/>
      <c r="AZ32" s="50"/>
      <c r="BA32" s="28"/>
      <c r="BB32" s="50"/>
      <c r="BC32" s="28"/>
      <c r="BD32" s="50"/>
      <c r="BE32" s="28"/>
      <c r="BF32" s="50" t="s">
        <v>140</v>
      </c>
      <c r="BG32" s="28">
        <v>95800.0</v>
      </c>
      <c r="BH32" s="50" t="s">
        <v>141</v>
      </c>
      <c r="BI32" s="28">
        <v>102000.0</v>
      </c>
    </row>
    <row r="33" ht="16.5" customHeight="1">
      <c r="A33" s="19"/>
      <c r="B33" s="27"/>
      <c r="C33" s="28"/>
      <c r="D33" s="50"/>
      <c r="E33" s="28"/>
      <c r="F33" s="50"/>
      <c r="G33" s="29"/>
      <c r="H33" s="50"/>
      <c r="I33" s="29"/>
      <c r="J33" s="50"/>
      <c r="K33" s="29"/>
      <c r="L33" s="52" t="s">
        <v>142</v>
      </c>
      <c r="M33" s="14">
        <v>712800.0</v>
      </c>
      <c r="N33" s="50"/>
      <c r="O33" s="29"/>
      <c r="P33" s="50"/>
      <c r="Q33" s="29"/>
      <c r="R33" s="50"/>
      <c r="S33" s="29"/>
      <c r="T33" s="50"/>
      <c r="U33" s="29"/>
      <c r="V33" s="50"/>
      <c r="W33" s="29"/>
      <c r="X33" s="50"/>
      <c r="Y33" s="29"/>
      <c r="Z33" s="50"/>
      <c r="AA33" s="29"/>
      <c r="AB33" s="50"/>
      <c r="AC33" s="29"/>
      <c r="AD33" s="50"/>
      <c r="AE33" s="28"/>
      <c r="AF33" s="50"/>
      <c r="AG33" s="28"/>
      <c r="AH33" s="50"/>
      <c r="AI33" s="28"/>
      <c r="AJ33" s="50"/>
      <c r="AK33" s="28"/>
      <c r="AL33" s="50"/>
      <c r="AM33" s="28"/>
      <c r="AN33" s="50"/>
      <c r="AO33" s="28"/>
      <c r="AP33" s="50"/>
      <c r="AQ33" s="28"/>
      <c r="AR33" s="50"/>
      <c r="AS33" s="28"/>
      <c r="AT33" s="50"/>
      <c r="AU33" s="28"/>
      <c r="AV33" s="50"/>
      <c r="AW33" s="28"/>
      <c r="AX33" s="50"/>
      <c r="AY33" s="28"/>
      <c r="AZ33" s="50"/>
      <c r="BA33" s="28"/>
      <c r="BB33" s="50"/>
      <c r="BC33" s="28"/>
      <c r="BD33" s="50"/>
      <c r="BE33" s="28"/>
      <c r="BF33" s="50" t="s">
        <v>143</v>
      </c>
      <c r="BG33" s="28">
        <v>1616300.0</v>
      </c>
      <c r="BH33" s="50" t="s">
        <v>144</v>
      </c>
      <c r="BI33" s="28">
        <v>2.86E7</v>
      </c>
    </row>
    <row r="34" ht="16.5" customHeight="1">
      <c r="A34" s="19"/>
      <c r="B34" s="27"/>
      <c r="C34" s="28"/>
      <c r="D34" s="50"/>
      <c r="E34" s="28"/>
      <c r="F34" s="50"/>
      <c r="G34" s="29"/>
      <c r="H34" s="50"/>
      <c r="I34" s="29"/>
      <c r="J34" s="50"/>
      <c r="K34" s="29"/>
      <c r="L34" s="52" t="s">
        <v>145</v>
      </c>
      <c r="M34" s="14">
        <v>72900.0</v>
      </c>
      <c r="N34" s="50"/>
      <c r="O34" s="29"/>
      <c r="P34" s="50"/>
      <c r="Q34" s="29"/>
      <c r="R34" s="50"/>
      <c r="S34" s="29"/>
      <c r="T34" s="50"/>
      <c r="U34" s="29"/>
      <c r="V34" s="50"/>
      <c r="W34" s="29"/>
      <c r="X34" s="50"/>
      <c r="Y34" s="29"/>
      <c r="Z34" s="50"/>
      <c r="AA34" s="29"/>
      <c r="AB34" s="50"/>
      <c r="AC34" s="29"/>
      <c r="AD34" s="50"/>
      <c r="AE34" s="28"/>
      <c r="AF34" s="50"/>
      <c r="AG34" s="28"/>
      <c r="AH34" s="50"/>
      <c r="AI34" s="28"/>
      <c r="AJ34" s="50"/>
      <c r="AK34" s="28"/>
      <c r="AL34" s="50"/>
      <c r="AM34" s="28"/>
      <c r="AN34" s="50"/>
      <c r="AO34" s="28"/>
      <c r="AP34" s="50"/>
      <c r="AQ34" s="28"/>
      <c r="AR34" s="50"/>
      <c r="AS34" s="28"/>
      <c r="AT34" s="50"/>
      <c r="AU34" s="28"/>
      <c r="AV34" s="50"/>
      <c r="AW34" s="28"/>
      <c r="AX34" s="50"/>
      <c r="AY34" s="28"/>
      <c r="AZ34" s="50"/>
      <c r="BA34" s="28"/>
      <c r="BB34" s="50"/>
      <c r="BC34" s="28"/>
      <c r="BD34" s="50"/>
      <c r="BE34" s="28"/>
      <c r="BF34" s="50" t="s">
        <v>146</v>
      </c>
      <c r="BG34" s="28">
        <v>800000.0</v>
      </c>
      <c r="BH34" s="50" t="s">
        <v>144</v>
      </c>
      <c r="BI34" s="28">
        <v>3.2363E7</v>
      </c>
    </row>
    <row r="35" ht="16.5" customHeight="1">
      <c r="A35" s="19"/>
      <c r="B35" s="27"/>
      <c r="C35" s="28"/>
      <c r="D35" s="50"/>
      <c r="E35" s="28"/>
      <c r="F35" s="50"/>
      <c r="G35" s="29"/>
      <c r="H35" s="50"/>
      <c r="I35" s="29"/>
      <c r="J35" s="50"/>
      <c r="K35" s="29"/>
      <c r="L35" s="55" t="s">
        <v>147</v>
      </c>
      <c r="M35" s="56">
        <v>600000.0</v>
      </c>
      <c r="N35" s="50"/>
      <c r="O35" s="29"/>
      <c r="P35" s="50"/>
      <c r="Q35" s="29"/>
      <c r="R35" s="50"/>
      <c r="S35" s="29"/>
      <c r="T35" s="50"/>
      <c r="U35" s="29"/>
      <c r="V35" s="50"/>
      <c r="W35" s="29"/>
      <c r="X35" s="50"/>
      <c r="Y35" s="29"/>
      <c r="Z35" s="50"/>
      <c r="AA35" s="29"/>
      <c r="AB35" s="50"/>
      <c r="AC35" s="29"/>
      <c r="AD35" s="50"/>
      <c r="AE35" s="28"/>
      <c r="AF35" s="50"/>
      <c r="AG35" s="28"/>
      <c r="AH35" s="50"/>
      <c r="AI35" s="28"/>
      <c r="AJ35" s="50"/>
      <c r="AK35" s="28"/>
      <c r="AL35" s="50"/>
      <c r="AM35" s="28"/>
      <c r="AN35" s="50"/>
      <c r="AO35" s="28"/>
      <c r="AP35" s="50"/>
      <c r="AQ35" s="28"/>
      <c r="AR35" s="50"/>
      <c r="AS35" s="28"/>
      <c r="AT35" s="50"/>
      <c r="AU35" s="28"/>
      <c r="AV35" s="50"/>
      <c r="AW35" s="28"/>
      <c r="AX35" s="50"/>
      <c r="AY35" s="28"/>
      <c r="AZ35" s="50"/>
      <c r="BA35" s="28"/>
      <c r="BB35" s="50"/>
      <c r="BC35" s="28"/>
      <c r="BD35" s="50"/>
      <c r="BE35" s="28"/>
      <c r="BF35" s="50" t="s">
        <v>148</v>
      </c>
      <c r="BG35" s="28">
        <v>246750.0</v>
      </c>
      <c r="BH35" s="50" t="s">
        <v>149</v>
      </c>
      <c r="BI35" s="28">
        <v>6294929.0</v>
      </c>
    </row>
    <row r="36" ht="16.5" customHeight="1">
      <c r="A36" s="19"/>
      <c r="B36" s="27"/>
      <c r="C36" s="28"/>
      <c r="D36" s="50"/>
      <c r="E36" s="28"/>
      <c r="F36" s="50"/>
      <c r="G36" s="29"/>
      <c r="H36" s="50"/>
      <c r="I36" s="29"/>
      <c r="J36" s="50"/>
      <c r="K36" s="29"/>
      <c r="L36" s="48" t="s">
        <v>150</v>
      </c>
      <c r="M36" s="51">
        <v>420000.0</v>
      </c>
      <c r="N36" s="50"/>
      <c r="O36" s="29"/>
      <c r="P36" s="50"/>
      <c r="Q36" s="29"/>
      <c r="R36" s="50"/>
      <c r="S36" s="29"/>
      <c r="T36" s="50"/>
      <c r="U36" s="29"/>
      <c r="V36" s="50"/>
      <c r="W36" s="29"/>
      <c r="X36" s="50"/>
      <c r="Y36" s="29"/>
      <c r="Z36" s="50"/>
      <c r="AA36" s="29"/>
      <c r="AB36" s="50"/>
      <c r="AC36" s="29"/>
      <c r="AD36" s="50"/>
      <c r="AE36" s="28"/>
      <c r="AF36" s="50"/>
      <c r="AG36" s="28"/>
      <c r="AH36" s="50"/>
      <c r="AI36" s="28"/>
      <c r="AJ36" s="50"/>
      <c r="AK36" s="28"/>
      <c r="AL36" s="50"/>
      <c r="AM36" s="28"/>
      <c r="AN36" s="50"/>
      <c r="AO36" s="28"/>
      <c r="AP36" s="50"/>
      <c r="AQ36" s="28"/>
      <c r="AR36" s="50"/>
      <c r="AS36" s="28"/>
      <c r="AT36" s="50"/>
      <c r="AU36" s="28"/>
      <c r="AV36" s="50"/>
      <c r="AW36" s="28"/>
      <c r="AX36" s="50"/>
      <c r="AY36" s="28"/>
      <c r="AZ36" s="50"/>
      <c r="BA36" s="28"/>
      <c r="BB36" s="50"/>
      <c r="BC36" s="28"/>
      <c r="BD36" s="50"/>
      <c r="BE36" s="28"/>
      <c r="BF36" s="50"/>
      <c r="BG36" s="28"/>
      <c r="BH36" s="57" t="s">
        <v>151</v>
      </c>
      <c r="BI36" s="58">
        <v>-6.6E7</v>
      </c>
    </row>
    <row r="37" ht="16.5" customHeight="1">
      <c r="A37" s="19"/>
      <c r="B37" s="27"/>
      <c r="C37" s="28"/>
      <c r="D37" s="50"/>
      <c r="E37" s="28"/>
      <c r="F37" s="50"/>
      <c r="G37" s="29"/>
      <c r="H37" s="50"/>
      <c r="I37" s="29"/>
      <c r="J37" s="50"/>
      <c r="K37" s="29"/>
      <c r="L37" s="50" t="s">
        <v>152</v>
      </c>
      <c r="M37" s="29">
        <v>21824.0</v>
      </c>
      <c r="N37" s="50"/>
      <c r="O37" s="29"/>
      <c r="P37" s="50"/>
      <c r="Q37" s="29"/>
      <c r="R37" s="50"/>
      <c r="S37" s="29"/>
      <c r="T37" s="50"/>
      <c r="U37" s="29"/>
      <c r="V37" s="50"/>
      <c r="W37" s="29"/>
      <c r="X37" s="50"/>
      <c r="Y37" s="29"/>
      <c r="Z37" s="50"/>
      <c r="AA37" s="29"/>
      <c r="AB37" s="50"/>
      <c r="AC37" s="29"/>
      <c r="AD37" s="50"/>
      <c r="AE37" s="28"/>
      <c r="AF37" s="50"/>
      <c r="AG37" s="28"/>
      <c r="AH37" s="50"/>
      <c r="AI37" s="28"/>
      <c r="AJ37" s="50"/>
      <c r="AK37" s="28"/>
      <c r="AL37" s="50"/>
      <c r="AM37" s="28"/>
      <c r="AN37" s="50"/>
      <c r="AO37" s="28"/>
      <c r="AP37" s="50"/>
      <c r="AQ37" s="28"/>
      <c r="AR37" s="50"/>
      <c r="AS37" s="28"/>
      <c r="AT37" s="50"/>
      <c r="AU37" s="28"/>
      <c r="AV37" s="50"/>
      <c r="AW37" s="28"/>
      <c r="AX37" s="50"/>
      <c r="AY37" s="28"/>
      <c r="AZ37" s="50"/>
      <c r="BA37" s="28"/>
      <c r="BB37" s="50"/>
      <c r="BC37" s="28"/>
      <c r="BD37" s="50"/>
      <c r="BE37" s="28"/>
      <c r="BF37" s="50"/>
      <c r="BG37" s="28"/>
      <c r="BH37" s="50"/>
      <c r="BI37" s="28"/>
    </row>
    <row r="38" ht="16.5" customHeight="1">
      <c r="A38" s="19"/>
      <c r="B38" s="12"/>
      <c r="C38" s="13"/>
      <c r="D38" s="52"/>
      <c r="E38" s="13"/>
      <c r="F38" s="52"/>
      <c r="G38" s="14"/>
      <c r="H38" s="52"/>
      <c r="I38" s="14"/>
      <c r="J38" s="52"/>
      <c r="K38" s="14"/>
      <c r="L38" s="52"/>
      <c r="M38" s="14"/>
      <c r="N38" s="52"/>
      <c r="O38" s="14"/>
      <c r="P38" s="52"/>
      <c r="Q38" s="14"/>
      <c r="R38" s="52"/>
      <c r="S38" s="14"/>
      <c r="T38" s="52"/>
      <c r="U38" s="14"/>
      <c r="V38" s="52"/>
      <c r="W38" s="14"/>
      <c r="X38" s="52"/>
      <c r="Y38" s="14"/>
      <c r="Z38" s="52"/>
      <c r="AA38" s="14"/>
      <c r="AB38" s="52"/>
      <c r="AC38" s="14"/>
      <c r="AD38" s="52"/>
      <c r="AE38" s="13"/>
      <c r="AF38" s="52"/>
      <c r="AG38" s="13"/>
      <c r="AH38" s="52"/>
      <c r="AI38" s="13"/>
      <c r="AJ38" s="52"/>
      <c r="AK38" s="13"/>
      <c r="AL38" s="52"/>
      <c r="AM38" s="13"/>
      <c r="AN38" s="52"/>
      <c r="AO38" s="13"/>
      <c r="AP38" s="52"/>
      <c r="AQ38" s="13"/>
      <c r="AR38" s="52"/>
      <c r="AS38" s="13"/>
      <c r="AT38" s="52"/>
      <c r="AU38" s="13"/>
      <c r="AV38" s="52"/>
      <c r="AW38" s="13"/>
      <c r="AX38" s="52"/>
      <c r="AY38" s="13"/>
      <c r="AZ38" s="52"/>
      <c r="BA38" s="13"/>
      <c r="BB38" s="52"/>
      <c r="BC38" s="13"/>
      <c r="BD38" s="52"/>
      <c r="BE38" s="13"/>
      <c r="BF38" s="52"/>
      <c r="BG38" s="13"/>
      <c r="BH38" s="52"/>
      <c r="BI38" s="13"/>
    </row>
    <row r="39" ht="16.5" customHeight="1">
      <c r="A39" s="19"/>
      <c r="B39" s="59"/>
      <c r="C39" s="60">
        <f t="shared" ref="C39:M39" si="3">SUM(C22:C38)</f>
        <v>0</v>
      </c>
      <c r="D39" s="60">
        <f t="shared" si="3"/>
        <v>0</v>
      </c>
      <c r="E39" s="60">
        <f t="shared" si="3"/>
        <v>216520</v>
      </c>
      <c r="F39" s="60">
        <f t="shared" si="3"/>
        <v>0</v>
      </c>
      <c r="G39" s="60">
        <f t="shared" si="3"/>
        <v>0</v>
      </c>
      <c r="H39" s="60">
        <f t="shared" si="3"/>
        <v>0</v>
      </c>
      <c r="I39" s="60">
        <f t="shared" si="3"/>
        <v>1587410</v>
      </c>
      <c r="J39" s="60">
        <f t="shared" si="3"/>
        <v>0</v>
      </c>
      <c r="K39" s="60">
        <f t="shared" si="3"/>
        <v>-261060</v>
      </c>
      <c r="L39" s="60">
        <f t="shared" si="3"/>
        <v>0</v>
      </c>
      <c r="M39" s="60">
        <f t="shared" si="3"/>
        <v>91264559</v>
      </c>
      <c r="N39" s="60"/>
      <c r="O39" s="60"/>
      <c r="P39" s="60"/>
      <c r="Q39" s="60">
        <f>SUM(Q22:Q38)</f>
        <v>450000</v>
      </c>
      <c r="R39" s="60"/>
      <c r="S39" s="60">
        <f>SUM(S22:S38)</f>
        <v>6349370</v>
      </c>
      <c r="T39" s="60"/>
      <c r="U39" s="60">
        <f>SUM(U22:U38)</f>
        <v>0</v>
      </c>
      <c r="V39" s="60"/>
      <c r="W39" s="60">
        <f>SUM(W22:W38)</f>
        <v>26701610</v>
      </c>
      <c r="X39" s="60"/>
      <c r="Y39" s="60">
        <f>SUM(Y22:Y38)</f>
        <v>60000</v>
      </c>
      <c r="Z39" s="60"/>
      <c r="AA39" s="60">
        <f>SUM(AA22:AA38)</f>
        <v>14715740</v>
      </c>
      <c r="AB39" s="60"/>
      <c r="AC39" s="60">
        <f>SUM(AC22:AC38)</f>
        <v>0</v>
      </c>
      <c r="AD39" s="60"/>
      <c r="AE39" s="60">
        <f>SUM(AE22:AE38)</f>
        <v>-3054554</v>
      </c>
      <c r="AF39" s="60"/>
      <c r="AG39" s="60">
        <f>SUM(AG22:AG38)</f>
        <v>16845464</v>
      </c>
      <c r="AH39" s="60"/>
      <c r="AI39" s="60">
        <f>SUM(AI22:AI38)</f>
        <v>5000000</v>
      </c>
      <c r="AJ39" s="60"/>
      <c r="AK39" s="60">
        <f>SUM(AK22:AK38)</f>
        <v>0</v>
      </c>
      <c r="AL39" s="60"/>
      <c r="AM39" s="60">
        <f>SUM(AM22:AM38)</f>
        <v>0</v>
      </c>
      <c r="AN39" s="60"/>
      <c r="AO39" s="60">
        <f>SUM(AO22:AO38)</f>
        <v>20000</v>
      </c>
      <c r="AP39" s="60"/>
      <c r="AQ39" s="60">
        <f>SUM(AQ22:AQ38)</f>
        <v>38650600</v>
      </c>
      <c r="AR39" s="60"/>
      <c r="AS39" s="60">
        <f>SUM(AS22:AS38)</f>
        <v>300000</v>
      </c>
      <c r="AT39" s="60"/>
      <c r="AU39" s="60">
        <f>SUM(AU22:AU38)</f>
        <v>0</v>
      </c>
      <c r="AV39" s="60"/>
      <c r="AW39" s="60">
        <f>SUM(AW22:AW38)</f>
        <v>27699560</v>
      </c>
      <c r="AX39" s="60"/>
      <c r="AY39" s="60">
        <f>SUM(AY22:AY38)</f>
        <v>7890</v>
      </c>
      <c r="AZ39" s="60"/>
      <c r="BA39" s="60">
        <f>SUM(BA22:BA38)</f>
        <v>9097851</v>
      </c>
      <c r="BB39" s="60"/>
      <c r="BC39" s="60">
        <f>SUM(BC22:BC38)</f>
        <v>119740</v>
      </c>
      <c r="BD39" s="60"/>
      <c r="BE39" s="60">
        <f>SUM(BE22:BE38)</f>
        <v>457920</v>
      </c>
      <c r="BF39" s="60"/>
      <c r="BG39" s="60">
        <f>SUM(BG22:BG38)</f>
        <v>93596550</v>
      </c>
      <c r="BH39" s="60"/>
      <c r="BI39" s="60">
        <f>SUM(BI22:BI38)</f>
        <v>4926419</v>
      </c>
    </row>
    <row r="40" ht="16.5" customHeight="1">
      <c r="A40" s="37"/>
      <c r="B40" s="61"/>
      <c r="C40" s="62">
        <f t="shared" ref="C40:M40" si="4">C20+C21-C39</f>
        <v>0</v>
      </c>
      <c r="D40" s="62">
        <f t="shared" si="4"/>
        <v>0</v>
      </c>
      <c r="E40" s="62">
        <f t="shared" si="4"/>
        <v>-216520</v>
      </c>
      <c r="F40" s="62">
        <f t="shared" si="4"/>
        <v>0</v>
      </c>
      <c r="G40" s="62">
        <f t="shared" si="4"/>
        <v>0</v>
      </c>
      <c r="H40" s="62">
        <f t="shared" si="4"/>
        <v>0</v>
      </c>
      <c r="I40" s="62">
        <f t="shared" si="4"/>
        <v>218192286</v>
      </c>
      <c r="J40" s="62">
        <f t="shared" si="4"/>
        <v>0</v>
      </c>
      <c r="K40" s="62">
        <f t="shared" si="4"/>
        <v>261060</v>
      </c>
      <c r="L40" s="62">
        <f t="shared" si="4"/>
        <v>0</v>
      </c>
      <c r="M40" s="62">
        <f t="shared" si="4"/>
        <v>217188787</v>
      </c>
      <c r="N40" s="62"/>
      <c r="O40" s="62"/>
      <c r="P40" s="62"/>
      <c r="Q40" s="62">
        <f>Q20+Q21-Q39</f>
        <v>216738787</v>
      </c>
      <c r="R40" s="62"/>
      <c r="S40" s="62">
        <f>S20+S21-S39</f>
        <v>240389417</v>
      </c>
      <c r="T40" s="62"/>
      <c r="U40" s="62">
        <f>U20+U21-U39</f>
        <v>240389417</v>
      </c>
      <c r="V40" s="62"/>
      <c r="W40" s="62">
        <f>W20+W21-W39</f>
        <v>213687807</v>
      </c>
      <c r="X40" s="62"/>
      <c r="Y40" s="62">
        <f>Y20+Y21-Y39</f>
        <v>213627807</v>
      </c>
      <c r="Z40" s="62"/>
      <c r="AA40" s="62">
        <f>AA20+AA21-AA39</f>
        <v>198912067</v>
      </c>
      <c r="AB40" s="62"/>
      <c r="AC40" s="62">
        <f>AC20+AC21-AC39</f>
        <v>0</v>
      </c>
      <c r="AD40" s="62"/>
      <c r="AE40" s="62">
        <f>AE20+AE21-AE39</f>
        <v>201966621</v>
      </c>
      <c r="AF40" s="62"/>
      <c r="AG40" s="62">
        <f>AG20+AG21-AG39</f>
        <v>185121157</v>
      </c>
      <c r="AH40" s="62"/>
      <c r="AI40" s="62">
        <f>AI20+AI21-AI39</f>
        <v>180121157</v>
      </c>
      <c r="AJ40" s="62"/>
      <c r="AK40" s="62">
        <f>AK20+AK21-AK39</f>
        <v>0</v>
      </c>
      <c r="AL40" s="62"/>
      <c r="AM40" s="62">
        <f>AM20+AM21-AM39</f>
        <v>0</v>
      </c>
      <c r="AN40" s="62"/>
      <c r="AO40" s="62">
        <f>AO20+AO21-AO39</f>
        <v>180101157</v>
      </c>
      <c r="AP40" s="62"/>
      <c r="AQ40" s="62">
        <f>AQ20+AQ21-AQ39</f>
        <v>211450557</v>
      </c>
      <c r="AR40" s="62"/>
      <c r="AS40" s="62">
        <f>AS20+AS21-AS39</f>
        <v>211150557</v>
      </c>
      <c r="AT40" s="62"/>
      <c r="AU40" s="62">
        <f>AU20+AU21-AU39</f>
        <v>0</v>
      </c>
      <c r="AV40" s="62"/>
      <c r="AW40" s="62">
        <f>AW20+AW21-AW39</f>
        <v>183450997</v>
      </c>
      <c r="AX40" s="62"/>
      <c r="AY40" s="62">
        <f>AY20+AY21-AY39</f>
        <v>183443107</v>
      </c>
      <c r="AZ40" s="62"/>
      <c r="BA40" s="62">
        <f>BA20+BA21-BA39</f>
        <v>174345257</v>
      </c>
      <c r="BB40" s="62"/>
      <c r="BC40" s="62">
        <f>BC20+BC21-BC39</f>
        <v>174225517</v>
      </c>
      <c r="BD40" s="62"/>
      <c r="BE40" s="62">
        <f>BE20+BE21-BE39</f>
        <v>173767597</v>
      </c>
      <c r="BF40" s="62"/>
      <c r="BG40" s="62">
        <f>BG20+BG21-BG39</f>
        <v>250171047</v>
      </c>
      <c r="BH40" s="62"/>
      <c r="BI40" s="62">
        <f>BI20+BI21-BI39</f>
        <v>245244628</v>
      </c>
    </row>
    <row r="41" ht="16.5" customHeight="1"/>
    <row r="42" ht="16.5" customHeight="1">
      <c r="A42" s="63" t="s">
        <v>153</v>
      </c>
      <c r="B42" s="41"/>
      <c r="C42" s="42"/>
      <c r="D42" s="64"/>
      <c r="E42" s="65"/>
      <c r="F42" s="43"/>
      <c r="G42" s="44"/>
      <c r="H42" s="43"/>
      <c r="I42" s="44"/>
      <c r="J42" s="43"/>
      <c r="K42" s="44"/>
      <c r="L42" s="43"/>
      <c r="M42" s="44"/>
      <c r="N42" s="43"/>
      <c r="O42" s="44"/>
      <c r="P42" s="43"/>
      <c r="Q42" s="44"/>
      <c r="R42" s="43"/>
      <c r="S42" s="44"/>
      <c r="T42" s="43"/>
      <c r="U42" s="44"/>
      <c r="V42" s="43"/>
      <c r="W42" s="44"/>
      <c r="X42" s="43"/>
      <c r="Y42" s="44"/>
      <c r="Z42" s="43"/>
      <c r="AA42" s="44"/>
      <c r="AB42" s="43"/>
      <c r="AC42" s="44"/>
      <c r="AD42" s="43"/>
      <c r="AE42" s="44"/>
      <c r="AF42" s="43"/>
      <c r="AG42" s="44"/>
      <c r="AH42" s="43"/>
      <c r="AI42" s="44"/>
      <c r="AJ42" s="43"/>
      <c r="AK42" s="44"/>
      <c r="AL42" s="43"/>
      <c r="AM42" s="44"/>
      <c r="AN42" s="43"/>
      <c r="AO42" s="44"/>
      <c r="AP42" s="43"/>
      <c r="AQ42" s="44"/>
      <c r="AR42" s="43"/>
      <c r="AS42" s="44"/>
      <c r="AT42" s="43"/>
      <c r="AU42" s="44"/>
      <c r="AV42" s="43"/>
      <c r="AW42" s="44"/>
      <c r="AX42" s="43"/>
      <c r="AY42" s="44"/>
      <c r="AZ42" s="43"/>
      <c r="BA42" s="44"/>
      <c r="BB42" s="43"/>
      <c r="BC42" s="44"/>
      <c r="BD42" s="43"/>
      <c r="BE42" s="44"/>
      <c r="BF42" s="43"/>
      <c r="BG42" s="44"/>
      <c r="BH42" s="43"/>
      <c r="BI42" s="44"/>
    </row>
    <row r="43" ht="16.5" customHeight="1">
      <c r="A43" s="19"/>
      <c r="B43" s="12"/>
      <c r="C43" s="13"/>
      <c r="D43" s="50"/>
      <c r="E43" s="28"/>
      <c r="F43" s="52"/>
      <c r="G43" s="14"/>
      <c r="H43" s="52"/>
      <c r="I43" s="14"/>
      <c r="J43" s="52"/>
      <c r="K43" s="14"/>
      <c r="L43" s="52"/>
      <c r="M43" s="14"/>
      <c r="N43" s="52"/>
      <c r="O43" s="14"/>
      <c r="P43" s="52"/>
      <c r="Q43" s="14"/>
      <c r="R43" s="52"/>
      <c r="S43" s="14"/>
      <c r="T43" s="52"/>
      <c r="U43" s="14"/>
      <c r="V43" s="52"/>
      <c r="W43" s="14"/>
      <c r="X43" s="52"/>
      <c r="Y43" s="14"/>
      <c r="Z43" s="52"/>
      <c r="AA43" s="14"/>
      <c r="AB43" s="52"/>
      <c r="AC43" s="14"/>
      <c r="AD43" s="52"/>
      <c r="AE43" s="14"/>
      <c r="AF43" s="52"/>
      <c r="AG43" s="14"/>
      <c r="AH43" s="52"/>
      <c r="AI43" s="14"/>
      <c r="AJ43" s="52"/>
      <c r="AK43" s="14"/>
      <c r="AL43" s="52"/>
      <c r="AM43" s="14"/>
      <c r="AN43" s="52"/>
      <c r="AO43" s="14"/>
      <c r="AP43" s="52"/>
      <c r="AQ43" s="14"/>
      <c r="AR43" s="52"/>
      <c r="AS43" s="14"/>
      <c r="AT43" s="52"/>
      <c r="AU43" s="14"/>
      <c r="AV43" s="52"/>
      <c r="AW43" s="14"/>
      <c r="AX43" s="52"/>
      <c r="AY43" s="14"/>
      <c r="AZ43" s="52"/>
      <c r="BA43" s="14"/>
      <c r="BB43" s="52"/>
      <c r="BC43" s="14"/>
      <c r="BD43" s="52"/>
      <c r="BE43" s="14"/>
      <c r="BF43" s="52"/>
      <c r="BG43" s="14"/>
      <c r="BH43" s="52"/>
      <c r="BI43" s="14"/>
    </row>
    <row r="44" ht="16.5" customHeight="1">
      <c r="A44" s="37"/>
      <c r="B44" s="66"/>
      <c r="C44" s="67"/>
      <c r="D44" s="68"/>
      <c r="E44" s="69"/>
      <c r="F44" s="70"/>
      <c r="G44" s="71"/>
      <c r="H44" s="70"/>
      <c r="I44" s="71"/>
      <c r="J44" s="70"/>
      <c r="K44" s="71"/>
      <c r="L44" s="70"/>
      <c r="M44" s="71"/>
      <c r="N44" s="70"/>
      <c r="O44" s="71"/>
      <c r="P44" s="70"/>
      <c r="Q44" s="71"/>
      <c r="R44" s="70"/>
      <c r="S44" s="71"/>
      <c r="T44" s="70"/>
      <c r="U44" s="71"/>
      <c r="V44" s="70"/>
      <c r="W44" s="71"/>
      <c r="X44" s="70"/>
      <c r="Y44" s="71"/>
      <c r="Z44" s="70"/>
      <c r="AA44" s="71"/>
      <c r="AB44" s="70"/>
      <c r="AC44" s="71"/>
      <c r="AD44" s="70"/>
      <c r="AE44" s="71"/>
      <c r="AF44" s="70"/>
      <c r="AG44" s="71"/>
      <c r="AH44" s="70"/>
      <c r="AI44" s="71"/>
      <c r="AJ44" s="70"/>
      <c r="AK44" s="71"/>
      <c r="AL44" s="70"/>
      <c r="AM44" s="71"/>
      <c r="AN44" s="70"/>
      <c r="AO44" s="71"/>
      <c r="AP44" s="70"/>
      <c r="AQ44" s="71"/>
      <c r="AR44" s="70"/>
      <c r="AS44" s="71"/>
      <c r="AT44" s="70"/>
      <c r="AU44" s="71"/>
      <c r="AV44" s="70"/>
      <c r="AW44" s="71"/>
      <c r="AX44" s="70"/>
      <c r="AY44" s="71"/>
      <c r="AZ44" s="70"/>
      <c r="BA44" s="71"/>
      <c r="BB44" s="70"/>
      <c r="BC44" s="71"/>
      <c r="BD44" s="70"/>
      <c r="BE44" s="71"/>
      <c r="BF44" s="70"/>
      <c r="BG44" s="71"/>
      <c r="BH44" s="70"/>
      <c r="BI44" s="71"/>
    </row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BF2:BG2"/>
    <mergeCell ref="BH2:BI2"/>
    <mergeCell ref="AR2:AS2"/>
    <mergeCell ref="AT2:AU2"/>
    <mergeCell ref="AV2:AW2"/>
    <mergeCell ref="AX2:AY2"/>
    <mergeCell ref="AZ2:BA2"/>
    <mergeCell ref="BB2:BC2"/>
    <mergeCell ref="BD2:BE2"/>
    <mergeCell ref="A4:A18"/>
    <mergeCell ref="A20:A40"/>
    <mergeCell ref="A42:A44"/>
    <mergeCell ref="B2:C2"/>
    <mergeCell ref="D2:E2"/>
    <mergeCell ref="F2:G2"/>
    <mergeCell ref="H2:I2"/>
    <mergeCell ref="J2:K2"/>
    <mergeCell ref="L2:M2"/>
    <mergeCell ref="N2:O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43" width="16.43"/>
  </cols>
  <sheetData>
    <row r="1" ht="16.5" customHeight="1"/>
    <row r="2" ht="21.0" customHeight="1">
      <c r="A2" s="1" t="s">
        <v>0</v>
      </c>
      <c r="B2" s="2" t="s">
        <v>154</v>
      </c>
      <c r="C2" s="3"/>
      <c r="D2" s="2" t="s">
        <v>155</v>
      </c>
      <c r="E2" s="3"/>
      <c r="F2" s="2" t="s">
        <v>156</v>
      </c>
      <c r="G2" s="3"/>
      <c r="H2" s="2" t="s">
        <v>157</v>
      </c>
      <c r="I2" s="3"/>
      <c r="J2" s="2" t="s">
        <v>158</v>
      </c>
      <c r="K2" s="3"/>
      <c r="L2" s="2" t="s">
        <v>159</v>
      </c>
      <c r="M2" s="3"/>
      <c r="N2" s="2" t="s">
        <v>160</v>
      </c>
      <c r="O2" s="3"/>
      <c r="P2" s="2" t="s">
        <v>161</v>
      </c>
      <c r="Q2" s="3"/>
      <c r="R2" s="2" t="s">
        <v>162</v>
      </c>
      <c r="S2" s="3"/>
      <c r="T2" s="2" t="s">
        <v>163</v>
      </c>
      <c r="U2" s="3"/>
      <c r="V2" s="2" t="s">
        <v>164</v>
      </c>
      <c r="W2" s="3"/>
      <c r="X2" s="2" t="s">
        <v>165</v>
      </c>
      <c r="Y2" s="3"/>
      <c r="Z2" s="2" t="s">
        <v>166</v>
      </c>
      <c r="AA2" s="3"/>
      <c r="AB2" s="2" t="s">
        <v>167</v>
      </c>
      <c r="AC2" s="3"/>
      <c r="AD2" s="2" t="s">
        <v>168</v>
      </c>
      <c r="AE2" s="3"/>
      <c r="AF2" s="2" t="s">
        <v>169</v>
      </c>
      <c r="AG2" s="3"/>
      <c r="AH2" s="2" t="s">
        <v>170</v>
      </c>
      <c r="AI2" s="3"/>
      <c r="AJ2" s="2" t="s">
        <v>171</v>
      </c>
      <c r="AK2" s="3"/>
      <c r="AL2" s="2" t="s">
        <v>172</v>
      </c>
      <c r="AM2" s="3"/>
      <c r="AN2" s="2" t="s">
        <v>173</v>
      </c>
      <c r="AO2" s="3"/>
      <c r="AP2" s="2" t="s">
        <v>174</v>
      </c>
      <c r="AQ2" s="3"/>
    </row>
    <row r="3" ht="21.0" customHeight="1">
      <c r="A3" s="5" t="s">
        <v>1</v>
      </c>
      <c r="B3" s="6"/>
      <c r="C3" s="7">
        <v>736880.0</v>
      </c>
      <c r="D3" s="6"/>
      <c r="E3" s="7">
        <v>7255564.0</v>
      </c>
      <c r="F3" s="6"/>
      <c r="G3" s="7">
        <v>1.3917238E7</v>
      </c>
      <c r="H3" s="6"/>
      <c r="I3" s="7">
        <v>3144203.0</v>
      </c>
      <c r="J3" s="6"/>
      <c r="K3" s="7">
        <v>5620464.0</v>
      </c>
      <c r="L3" s="6"/>
      <c r="M3" s="7">
        <v>1.1039405E7</v>
      </c>
      <c r="N3" s="6"/>
      <c r="O3" s="7">
        <v>811776.0</v>
      </c>
      <c r="P3" s="6"/>
      <c r="Q3" s="7">
        <v>1.0092742E7</v>
      </c>
      <c r="R3" s="6"/>
      <c r="S3" s="7">
        <v>3.1611276E7</v>
      </c>
      <c r="T3" s="6"/>
      <c r="U3" s="7">
        <v>9.005759E7</v>
      </c>
      <c r="V3" s="6"/>
      <c r="W3" s="7">
        <v>1.05534541E8</v>
      </c>
      <c r="X3" s="6"/>
      <c r="Y3" s="7">
        <v>1.30872724E8</v>
      </c>
      <c r="Z3" s="6"/>
      <c r="AA3" s="7">
        <v>1.03383149E8</v>
      </c>
      <c r="AB3" s="6"/>
      <c r="AC3" s="7">
        <v>1.23975155E8</v>
      </c>
      <c r="AD3" s="6"/>
      <c r="AE3" s="7">
        <v>1.32080138E8</v>
      </c>
      <c r="AF3" s="6"/>
      <c r="AG3" s="7">
        <v>1.57953415E8</v>
      </c>
      <c r="AH3" s="6"/>
      <c r="AI3" s="7">
        <v>1.09042427E8</v>
      </c>
      <c r="AJ3" s="6"/>
      <c r="AK3" s="7">
        <v>1.18314439E8</v>
      </c>
      <c r="AL3" s="6"/>
      <c r="AM3" s="7">
        <v>1.40563317E8</v>
      </c>
      <c r="AN3" s="6"/>
      <c r="AO3" s="7">
        <v>1.52456512E8</v>
      </c>
      <c r="AP3" s="6"/>
      <c r="AQ3" s="7">
        <v>1.11016194E8</v>
      </c>
    </row>
    <row r="4" ht="21.0" customHeight="1">
      <c r="A4" s="11" t="s">
        <v>2</v>
      </c>
      <c r="B4" s="12" t="s">
        <v>175</v>
      </c>
      <c r="C4" s="13" t="str">
        <f>'하나'!C16</f>
        <v>#REF!</v>
      </c>
      <c r="D4" s="12" t="s">
        <v>175</v>
      </c>
      <c r="E4" s="13" t="str">
        <f>'하나'!E16</f>
        <v>#REF!</v>
      </c>
      <c r="F4" s="12" t="s">
        <v>175</v>
      </c>
      <c r="G4" s="13" t="str">
        <f>'하나'!G16</f>
        <v>#REF!</v>
      </c>
      <c r="H4" s="12" t="s">
        <v>175</v>
      </c>
      <c r="I4" s="13" t="str">
        <f>'하나'!I16</f>
        <v>#REF!</v>
      </c>
      <c r="J4" s="12" t="s">
        <v>175</v>
      </c>
      <c r="K4" s="13" t="str">
        <f>'하나'!K16</f>
        <v>#REF!</v>
      </c>
      <c r="L4" s="12" t="s">
        <v>175</v>
      </c>
      <c r="M4" s="13" t="str">
        <f>'하나'!M16</f>
        <v>#REF!</v>
      </c>
      <c r="N4" s="12" t="s">
        <v>175</v>
      </c>
      <c r="O4" s="13" t="str">
        <f>'하나'!O16</f>
        <v>#REF!</v>
      </c>
      <c r="P4" s="12" t="s">
        <v>175</v>
      </c>
      <c r="Q4" s="13" t="str">
        <f>'하나'!Q16</f>
        <v>#REF!</v>
      </c>
      <c r="R4" s="12" t="s">
        <v>175</v>
      </c>
      <c r="S4" s="13" t="str">
        <f>'하나'!S16</f>
        <v>#REF!</v>
      </c>
      <c r="T4" s="12" t="s">
        <v>175</v>
      </c>
      <c r="U4" s="13" t="str">
        <f>'하나'!U16</f>
        <v>#REF!</v>
      </c>
      <c r="V4" s="12" t="s">
        <v>175</v>
      </c>
      <c r="W4" s="13" t="str">
        <f>'하나'!W16</f>
        <v>#REF!</v>
      </c>
      <c r="X4" s="12" t="s">
        <v>175</v>
      </c>
      <c r="Y4" s="13" t="str">
        <f>'하나'!Y16</f>
        <v>#REF!</v>
      </c>
      <c r="Z4" s="12" t="s">
        <v>175</v>
      </c>
      <c r="AA4" s="13" t="str">
        <f>'하나'!AA16</f>
        <v>#REF!</v>
      </c>
      <c r="AB4" s="12" t="s">
        <v>175</v>
      </c>
      <c r="AC4" s="13" t="str">
        <f>'하나'!AC16</f>
        <v>#REF!</v>
      </c>
      <c r="AD4" s="12" t="s">
        <v>175</v>
      </c>
      <c r="AE4" s="13" t="str">
        <f>'하나'!AE16</f>
        <v>#REF!</v>
      </c>
      <c r="AF4" s="12" t="s">
        <v>175</v>
      </c>
      <c r="AG4" s="13" t="str">
        <f>'하나'!AG16</f>
        <v>#REF!</v>
      </c>
      <c r="AH4" s="12" t="s">
        <v>175</v>
      </c>
      <c r="AI4" s="13" t="str">
        <f>'하나'!AI16</f>
        <v>#REF!</v>
      </c>
      <c r="AJ4" s="12" t="s">
        <v>175</v>
      </c>
      <c r="AK4" s="13" t="str">
        <f>'하나'!AK16</f>
        <v>#REF!</v>
      </c>
      <c r="AL4" s="12" t="s">
        <v>175</v>
      </c>
      <c r="AM4" s="13" t="str">
        <f>'하나'!AM16</f>
        <v>#REF!</v>
      </c>
      <c r="AN4" s="12" t="s">
        <v>175</v>
      </c>
      <c r="AO4" s="13" t="str">
        <f>'하나'!AO16</f>
        <v>#REF!</v>
      </c>
      <c r="AP4" s="12" t="s">
        <v>175</v>
      </c>
      <c r="AQ4" s="13" t="str">
        <f>'하나'!AQ16</f>
        <v>#REF!</v>
      </c>
    </row>
    <row r="5" ht="21.0" customHeight="1">
      <c r="A5" s="19"/>
      <c r="B5" s="12" t="s">
        <v>176</v>
      </c>
      <c r="C5" s="13">
        <f>'국민'!C16</f>
        <v>7924693</v>
      </c>
      <c r="D5" s="12" t="s">
        <v>176</v>
      </c>
      <c r="E5" s="13">
        <f>'국민'!E16</f>
        <v>9820914</v>
      </c>
      <c r="F5" s="12" t="s">
        <v>176</v>
      </c>
      <c r="G5" s="13">
        <f>'국민'!G16</f>
        <v>3784850</v>
      </c>
      <c r="H5" s="12" t="s">
        <v>176</v>
      </c>
      <c r="I5" s="13">
        <f>'국민'!I16</f>
        <v>7708261</v>
      </c>
      <c r="J5" s="12" t="s">
        <v>176</v>
      </c>
      <c r="K5" s="13">
        <f>'국민'!K16</f>
        <v>12432686</v>
      </c>
      <c r="L5" s="12" t="s">
        <v>176</v>
      </c>
      <c r="M5" s="13">
        <f>'국민'!M16</f>
        <v>8896415</v>
      </c>
      <c r="N5" s="12" t="s">
        <v>176</v>
      </c>
      <c r="O5" s="13">
        <f>'국민'!O16</f>
        <v>-46000</v>
      </c>
      <c r="P5" s="12" t="s">
        <v>176</v>
      </c>
      <c r="Q5" s="13">
        <f>'국민'!Q16</f>
        <v>2173797</v>
      </c>
      <c r="R5" s="12" t="s">
        <v>176</v>
      </c>
      <c r="S5" s="13">
        <f>'국민'!S16</f>
        <v>19570929</v>
      </c>
      <c r="T5" s="12" t="s">
        <v>176</v>
      </c>
      <c r="U5" s="13">
        <f>'국민'!U16</f>
        <v>18613539</v>
      </c>
      <c r="V5" s="12" t="s">
        <v>176</v>
      </c>
      <c r="W5" s="13">
        <f>'국민'!W16</f>
        <v>6620582</v>
      </c>
      <c r="X5" s="12" t="s">
        <v>176</v>
      </c>
      <c r="Y5" s="13">
        <f>'국민'!Y16</f>
        <v>316372</v>
      </c>
      <c r="Z5" s="12" t="s">
        <v>176</v>
      </c>
      <c r="AA5" s="13">
        <f>'국민'!AA16</f>
        <v>8478037</v>
      </c>
      <c r="AB5" s="12" t="s">
        <v>176</v>
      </c>
      <c r="AC5" s="13">
        <f>'국민'!AC16</f>
        <v>993868</v>
      </c>
      <c r="AD5" s="12" t="s">
        <v>176</v>
      </c>
      <c r="AE5" s="13">
        <f>'국민'!AE16</f>
        <v>189658</v>
      </c>
      <c r="AF5" s="12" t="s">
        <v>176</v>
      </c>
      <c r="AG5" s="13">
        <f>'국민'!AG16</f>
        <v>23323625</v>
      </c>
      <c r="AH5" s="12" t="s">
        <v>176</v>
      </c>
      <c r="AI5" s="13">
        <f>'국민'!AI16</f>
        <v>13419811</v>
      </c>
      <c r="AJ5" s="12" t="s">
        <v>176</v>
      </c>
      <c r="AK5" s="13">
        <f>'국민'!AK16</f>
        <v>6392108</v>
      </c>
      <c r="AL5" s="12" t="s">
        <v>176</v>
      </c>
      <c r="AM5" s="13">
        <f>'국민'!AM16</f>
        <v>6107100</v>
      </c>
      <c r="AN5" s="12" t="s">
        <v>176</v>
      </c>
      <c r="AO5" s="13">
        <f>'국민'!AO16</f>
        <v>29582287</v>
      </c>
      <c r="AP5" s="12" t="s">
        <v>176</v>
      </c>
      <c r="AQ5" s="13">
        <f>'국민'!AQ16</f>
        <v>5438177</v>
      </c>
    </row>
    <row r="6" ht="21.0" customHeight="1">
      <c r="A6" s="19"/>
      <c r="B6" s="72" t="s">
        <v>177</v>
      </c>
      <c r="C6" s="73" t="str">
        <f>C4+C5</f>
        <v>#REF!</v>
      </c>
      <c r="D6" s="72" t="s">
        <v>177</v>
      </c>
      <c r="E6" s="73" t="str">
        <f>E4+E5</f>
        <v>#REF!</v>
      </c>
      <c r="F6" s="72" t="s">
        <v>177</v>
      </c>
      <c r="G6" s="73" t="str">
        <f>G4+G5</f>
        <v>#REF!</v>
      </c>
      <c r="H6" s="72" t="s">
        <v>177</v>
      </c>
      <c r="I6" s="73" t="str">
        <f>I4+I5</f>
        <v>#REF!</v>
      </c>
      <c r="J6" s="72" t="s">
        <v>177</v>
      </c>
      <c r="K6" s="73" t="str">
        <f>K4+K5</f>
        <v>#REF!</v>
      </c>
      <c r="L6" s="72" t="s">
        <v>177</v>
      </c>
      <c r="M6" s="73" t="str">
        <f>M4+M5</f>
        <v>#REF!</v>
      </c>
      <c r="N6" s="72" t="s">
        <v>177</v>
      </c>
      <c r="O6" s="73" t="str">
        <f>O4+O5</f>
        <v>#REF!</v>
      </c>
      <c r="P6" s="72" t="s">
        <v>177</v>
      </c>
      <c r="Q6" s="73" t="str">
        <f>Q4+Q5</f>
        <v>#REF!</v>
      </c>
      <c r="R6" s="72" t="s">
        <v>177</v>
      </c>
      <c r="S6" s="73" t="str">
        <f>S4+S5</f>
        <v>#REF!</v>
      </c>
      <c r="T6" s="72" t="s">
        <v>177</v>
      </c>
      <c r="U6" s="73" t="str">
        <f>U4+U5</f>
        <v>#REF!</v>
      </c>
      <c r="V6" s="72" t="s">
        <v>177</v>
      </c>
      <c r="W6" s="73" t="str">
        <f>W4+W5</f>
        <v>#REF!</v>
      </c>
      <c r="X6" s="72" t="s">
        <v>177</v>
      </c>
      <c r="Y6" s="73" t="str">
        <f>Y4+Y5</f>
        <v>#REF!</v>
      </c>
      <c r="Z6" s="72" t="s">
        <v>177</v>
      </c>
      <c r="AA6" s="73" t="str">
        <f>AA4+AA5</f>
        <v>#REF!</v>
      </c>
      <c r="AB6" s="72" t="s">
        <v>177</v>
      </c>
      <c r="AC6" s="73" t="str">
        <f>AC4+AC5</f>
        <v>#REF!</v>
      </c>
      <c r="AD6" s="72" t="s">
        <v>177</v>
      </c>
      <c r="AE6" s="73" t="str">
        <f>AE4+AE5</f>
        <v>#REF!</v>
      </c>
      <c r="AF6" s="72" t="s">
        <v>177</v>
      </c>
      <c r="AG6" s="73" t="str">
        <f>AG4+AG5</f>
        <v>#REF!</v>
      </c>
      <c r="AH6" s="72" t="s">
        <v>177</v>
      </c>
      <c r="AI6" s="73" t="str">
        <f>AI4+AI5</f>
        <v>#REF!</v>
      </c>
      <c r="AJ6" s="72" t="s">
        <v>177</v>
      </c>
      <c r="AK6" s="73" t="str">
        <f>AK4+AK5</f>
        <v>#REF!</v>
      </c>
      <c r="AL6" s="72" t="s">
        <v>177</v>
      </c>
      <c r="AM6" s="73" t="str">
        <f>AM4+AM5</f>
        <v>#REF!</v>
      </c>
      <c r="AN6" s="72" t="s">
        <v>177</v>
      </c>
      <c r="AO6" s="73" t="str">
        <f>AO4+AO5</f>
        <v>#REF!</v>
      </c>
      <c r="AP6" s="72" t="s">
        <v>177</v>
      </c>
      <c r="AQ6" s="73" t="str">
        <f>AQ4+AQ5</f>
        <v>#REF!</v>
      </c>
    </row>
    <row r="7" ht="21.0" customHeight="1">
      <c r="A7" s="19"/>
      <c r="B7" s="45" t="s">
        <v>178</v>
      </c>
      <c r="C7" s="46" t="str">
        <f>'하나'!O17+'국민'!C17</f>
        <v>#REF!</v>
      </c>
      <c r="D7" s="45" t="s">
        <v>178</v>
      </c>
      <c r="E7" s="46" t="str">
        <f>'하나'!Q17+'국민'!E17</f>
        <v>#REF!</v>
      </c>
      <c r="F7" s="45" t="s">
        <v>178</v>
      </c>
      <c r="G7" s="46" t="str">
        <f>'하나'!S17+'국민'!G17</f>
        <v>#REF!</v>
      </c>
      <c r="H7" s="45" t="s">
        <v>178</v>
      </c>
      <c r="I7" s="46" t="str">
        <f>'하나'!U17+'국민'!I17</f>
        <v>#REF!</v>
      </c>
      <c r="J7" s="45" t="s">
        <v>178</v>
      </c>
      <c r="K7" s="46" t="str">
        <f>'하나'!W17+'국민'!K17</f>
        <v>#REF!</v>
      </c>
      <c r="L7" s="45" t="s">
        <v>178</v>
      </c>
      <c r="M7" s="46" t="str">
        <f>'하나'!Y17+'국민'!M17</f>
        <v>#REF!</v>
      </c>
      <c r="N7" s="45" t="s">
        <v>178</v>
      </c>
      <c r="O7" s="46" t="str">
        <f>'하나'!AA17+'국민'!O17</f>
        <v>#REF!</v>
      </c>
      <c r="P7" s="45" t="s">
        <v>178</v>
      </c>
      <c r="Q7" s="46" t="str">
        <f>'하나'!AC17+'국민'!Q17</f>
        <v>#REF!</v>
      </c>
      <c r="R7" s="45" t="s">
        <v>178</v>
      </c>
      <c r="S7" s="46" t="str">
        <f>'하나'!AE17+'국민'!S17</f>
        <v>#REF!</v>
      </c>
      <c r="T7" s="45" t="s">
        <v>178</v>
      </c>
      <c r="U7" s="46" t="str">
        <f>'하나'!AG17+'국민'!U17</f>
        <v>#REF!</v>
      </c>
      <c r="V7" s="45" t="s">
        <v>178</v>
      </c>
      <c r="W7" s="46" t="str">
        <f>'하나'!AI17+'국민'!W17</f>
        <v>#REF!</v>
      </c>
      <c r="X7" s="45" t="s">
        <v>178</v>
      </c>
      <c r="Y7" s="46" t="str">
        <f>'하나'!AK17+'국민'!Y17</f>
        <v>#REF!</v>
      </c>
      <c r="Z7" s="45" t="s">
        <v>178</v>
      </c>
      <c r="AA7" s="46" t="str">
        <f>'하나'!AM17+'국민'!AA17</f>
        <v>#REF!</v>
      </c>
      <c r="AB7" s="45" t="s">
        <v>178</v>
      </c>
      <c r="AC7" s="46" t="str">
        <f>'하나'!AO17+'국민'!AC17</f>
        <v>#REF!</v>
      </c>
      <c r="AD7" s="45" t="s">
        <v>178</v>
      </c>
      <c r="AE7" s="46" t="str">
        <f>'하나'!AQ17+'국민'!AE17</f>
        <v>#REF!</v>
      </c>
      <c r="AF7" s="45" t="s">
        <v>178</v>
      </c>
      <c r="AG7" s="46" t="str">
        <f>'하나'!AS17+'국민'!AG17</f>
        <v>#REF!</v>
      </c>
      <c r="AH7" s="45" t="s">
        <v>178</v>
      </c>
      <c r="AI7" s="46" t="str">
        <f>'하나'!AU17+'국민'!AI17</f>
        <v>#REF!</v>
      </c>
      <c r="AJ7" s="45" t="s">
        <v>178</v>
      </c>
      <c r="AK7" s="46" t="str">
        <f>'하나'!AW17+'국민'!AK17</f>
        <v>#REF!</v>
      </c>
      <c r="AL7" s="45" t="s">
        <v>178</v>
      </c>
      <c r="AM7" s="46" t="str">
        <f>'하나'!AY17+'국민'!AM17</f>
        <v>#REF!</v>
      </c>
      <c r="AN7" s="45" t="s">
        <v>178</v>
      </c>
      <c r="AO7" s="46" t="str">
        <f>'하나'!BA17+'국민'!AO17</f>
        <v>#REF!</v>
      </c>
      <c r="AP7" s="45" t="s">
        <v>178</v>
      </c>
      <c r="AQ7" s="46">
        <f>'국민'!AQ17</f>
        <v>70000000</v>
      </c>
    </row>
    <row r="8" ht="21.0" customHeight="1">
      <c r="A8" s="37"/>
      <c r="B8" s="74" t="s">
        <v>1</v>
      </c>
      <c r="C8" s="75" t="str">
        <f>C3+C6-C7</f>
        <v>#REF!</v>
      </c>
      <c r="D8" s="74" t="s">
        <v>1</v>
      </c>
      <c r="E8" s="75" t="str">
        <f>E3+E6-E7</f>
        <v>#REF!</v>
      </c>
      <c r="F8" s="74" t="s">
        <v>1</v>
      </c>
      <c r="G8" s="75" t="str">
        <f>G3+G6-G7</f>
        <v>#REF!</v>
      </c>
      <c r="H8" s="74" t="s">
        <v>1</v>
      </c>
      <c r="I8" s="75" t="str">
        <f>I3+I6-I7</f>
        <v>#REF!</v>
      </c>
      <c r="J8" s="74" t="s">
        <v>1</v>
      </c>
      <c r="K8" s="75" t="str">
        <f>K3+K6-K7</f>
        <v>#REF!</v>
      </c>
      <c r="L8" s="74" t="s">
        <v>1</v>
      </c>
      <c r="M8" s="75" t="str">
        <f>M3+M6-M7</f>
        <v>#REF!</v>
      </c>
      <c r="N8" s="74" t="s">
        <v>1</v>
      </c>
      <c r="O8" s="75" t="str">
        <f>O3+O6-O7</f>
        <v>#REF!</v>
      </c>
      <c r="P8" s="74" t="s">
        <v>1</v>
      </c>
      <c r="Q8" s="75" t="str">
        <f>Q3+Q6-Q7</f>
        <v>#REF!</v>
      </c>
      <c r="R8" s="74" t="s">
        <v>1</v>
      </c>
      <c r="S8" s="75" t="str">
        <f>S3+S6-S7</f>
        <v>#REF!</v>
      </c>
      <c r="T8" s="74" t="s">
        <v>1</v>
      </c>
      <c r="U8" s="75" t="str">
        <f>U3+U6-U7</f>
        <v>#REF!</v>
      </c>
      <c r="V8" s="74" t="s">
        <v>1</v>
      </c>
      <c r="W8" s="75" t="str">
        <f>W3+W6-W7</f>
        <v>#REF!</v>
      </c>
      <c r="X8" s="74" t="s">
        <v>1</v>
      </c>
      <c r="Y8" s="75" t="str">
        <f>Y3+Y6-Y7</f>
        <v>#REF!</v>
      </c>
      <c r="Z8" s="74" t="s">
        <v>1</v>
      </c>
      <c r="AA8" s="75" t="str">
        <f>AA3+AA6-AA7</f>
        <v>#REF!</v>
      </c>
      <c r="AB8" s="74" t="s">
        <v>1</v>
      </c>
      <c r="AC8" s="75" t="str">
        <f>AC3+AC6-AC7</f>
        <v>#REF!</v>
      </c>
      <c r="AD8" s="74" t="s">
        <v>1</v>
      </c>
      <c r="AE8" s="75" t="str">
        <f>AE3+AE6-AE7</f>
        <v>#REF!</v>
      </c>
      <c r="AF8" s="74" t="s">
        <v>1</v>
      </c>
      <c r="AG8" s="75" t="str">
        <f>AG3+AG6-AG7</f>
        <v>#REF!</v>
      </c>
      <c r="AH8" s="74" t="s">
        <v>1</v>
      </c>
      <c r="AI8" s="75" t="str">
        <f>AI3+AI6-AI7</f>
        <v>#REF!</v>
      </c>
      <c r="AJ8" s="74" t="s">
        <v>1</v>
      </c>
      <c r="AK8" s="75" t="str">
        <f>AK3+AK6-AK7</f>
        <v>#REF!</v>
      </c>
      <c r="AL8" s="74" t="s">
        <v>1</v>
      </c>
      <c r="AM8" s="75" t="str">
        <f>AM3+AM6-AM7</f>
        <v>#REF!</v>
      </c>
      <c r="AN8" s="74" t="s">
        <v>1</v>
      </c>
      <c r="AO8" s="75" t="str">
        <f>AO3+AO6-AO7</f>
        <v>#REF!</v>
      </c>
      <c r="AP8" s="74" t="s">
        <v>1</v>
      </c>
      <c r="AQ8" s="75" t="str">
        <f>AQ3+AQ6-AQ7</f>
        <v>#REF!</v>
      </c>
    </row>
    <row r="9" ht="21.0" customHeight="1"/>
    <row r="10" ht="21.0" customHeight="1">
      <c r="A10" s="40" t="s">
        <v>58</v>
      </c>
      <c r="B10" s="41"/>
      <c r="C10" s="42">
        <v>469758.0</v>
      </c>
      <c r="D10" s="41"/>
      <c r="E10" s="42">
        <v>1.2502573E7</v>
      </c>
      <c r="F10" s="41"/>
      <c r="G10" s="42">
        <v>1.3089392E7</v>
      </c>
      <c r="H10" s="41"/>
      <c r="I10" s="42">
        <v>2.8820006E7</v>
      </c>
      <c r="J10" s="41"/>
      <c r="K10" s="42">
        <v>2.107534E7</v>
      </c>
      <c r="L10" s="41"/>
      <c r="M10" s="42">
        <v>1.957534E7</v>
      </c>
      <c r="N10" s="41"/>
      <c r="O10" s="42">
        <v>3.379227E7</v>
      </c>
      <c r="P10" s="41"/>
      <c r="Q10" s="42">
        <v>1.756966E7</v>
      </c>
      <c r="R10" s="41"/>
      <c r="S10" s="42">
        <v>1.756966E7</v>
      </c>
      <c r="T10" s="41"/>
      <c r="U10" s="42">
        <v>3.210916E7</v>
      </c>
      <c r="V10" s="41"/>
      <c r="W10" s="42">
        <v>3.180916E7</v>
      </c>
      <c r="X10" s="41"/>
      <c r="Y10" s="42">
        <v>3.180916E7</v>
      </c>
      <c r="Z10" s="41"/>
      <c r="AA10" s="42">
        <v>4.9566469E7</v>
      </c>
      <c r="AB10" s="41"/>
      <c r="AC10" s="42">
        <v>4.7674432E7</v>
      </c>
      <c r="AD10" s="41"/>
      <c r="AE10" s="42">
        <v>4.7174432E7</v>
      </c>
      <c r="AF10" s="41"/>
      <c r="AG10" s="42">
        <v>4.7086532E7</v>
      </c>
      <c r="AH10" s="41"/>
      <c r="AI10" s="42">
        <v>1.01796157E8</v>
      </c>
      <c r="AJ10" s="41"/>
      <c r="AK10" s="42">
        <v>9.8027607E7</v>
      </c>
      <c r="AL10" s="41"/>
      <c r="AM10" s="42">
        <v>9.6768588E7</v>
      </c>
      <c r="AN10" s="41"/>
      <c r="AO10" s="42">
        <v>9.6521298E7</v>
      </c>
      <c r="AP10" s="41"/>
      <c r="AQ10" s="42">
        <v>7.8814798E7</v>
      </c>
    </row>
    <row r="11" ht="21.0" customHeight="1">
      <c r="A11" s="19"/>
      <c r="B11" s="45" t="s">
        <v>179</v>
      </c>
      <c r="C11" s="46" t="str">
        <f>C7</f>
        <v>#REF!</v>
      </c>
      <c r="D11" s="45" t="s">
        <v>179</v>
      </c>
      <c r="E11" s="46" t="str">
        <f>E7</f>
        <v>#REF!</v>
      </c>
      <c r="F11" s="45" t="s">
        <v>179</v>
      </c>
      <c r="G11" s="46" t="str">
        <f>G7</f>
        <v>#REF!</v>
      </c>
      <c r="H11" s="45" t="s">
        <v>179</v>
      </c>
      <c r="I11" s="46" t="str">
        <f>I7</f>
        <v>#REF!</v>
      </c>
      <c r="J11" s="45" t="s">
        <v>179</v>
      </c>
      <c r="K11" s="46" t="str">
        <f>K7</f>
        <v>#REF!</v>
      </c>
      <c r="L11" s="45" t="s">
        <v>179</v>
      </c>
      <c r="M11" s="46" t="str">
        <f>M7</f>
        <v>#REF!</v>
      </c>
      <c r="N11" s="45" t="s">
        <v>179</v>
      </c>
      <c r="O11" s="46" t="str">
        <f>O7</f>
        <v>#REF!</v>
      </c>
      <c r="P11" s="45" t="s">
        <v>179</v>
      </c>
      <c r="Q11" s="46" t="str">
        <f>Q7</f>
        <v>#REF!</v>
      </c>
      <c r="R11" s="45" t="s">
        <v>179</v>
      </c>
      <c r="S11" s="46" t="str">
        <f>S7</f>
        <v>#REF!</v>
      </c>
      <c r="T11" s="45" t="s">
        <v>179</v>
      </c>
      <c r="U11" s="46" t="str">
        <f>U7</f>
        <v>#REF!</v>
      </c>
      <c r="V11" s="45" t="s">
        <v>179</v>
      </c>
      <c r="W11" s="46" t="str">
        <f>W7</f>
        <v>#REF!</v>
      </c>
      <c r="X11" s="45" t="s">
        <v>179</v>
      </c>
      <c r="Y11" s="46" t="str">
        <f>Y7</f>
        <v>#REF!</v>
      </c>
      <c r="Z11" s="45" t="s">
        <v>179</v>
      </c>
      <c r="AA11" s="46" t="str">
        <f>AA7</f>
        <v>#REF!</v>
      </c>
      <c r="AB11" s="45" t="s">
        <v>179</v>
      </c>
      <c r="AC11" s="46" t="str">
        <f>AC7</f>
        <v>#REF!</v>
      </c>
      <c r="AD11" s="45" t="s">
        <v>179</v>
      </c>
      <c r="AE11" s="46" t="str">
        <f>AE7</f>
        <v>#REF!</v>
      </c>
      <c r="AF11" s="45" t="s">
        <v>179</v>
      </c>
      <c r="AG11" s="46" t="str">
        <f>AG7</f>
        <v>#REF!</v>
      </c>
      <c r="AH11" s="45" t="s">
        <v>179</v>
      </c>
      <c r="AI11" s="46" t="str">
        <f>AI7</f>
        <v>#REF!</v>
      </c>
      <c r="AJ11" s="45" t="s">
        <v>179</v>
      </c>
      <c r="AK11" s="46" t="str">
        <f>AK7</f>
        <v>#REF!</v>
      </c>
      <c r="AL11" s="45" t="s">
        <v>179</v>
      </c>
      <c r="AM11" s="46" t="str">
        <f>AM7</f>
        <v>#REF!</v>
      </c>
      <c r="AN11" s="45" t="s">
        <v>179</v>
      </c>
      <c r="AO11" s="46" t="str">
        <f>AO7</f>
        <v>#REF!</v>
      </c>
      <c r="AP11" s="45" t="s">
        <v>179</v>
      </c>
      <c r="AQ11" s="46">
        <f>AQ7</f>
        <v>70000000</v>
      </c>
    </row>
    <row r="12" ht="21.0" customHeight="1">
      <c r="A12" s="19"/>
      <c r="B12" s="12" t="s">
        <v>175</v>
      </c>
      <c r="C12" s="13" t="str">
        <f>'하나'!C39</f>
        <v>#REF!</v>
      </c>
      <c r="D12" s="12" t="s">
        <v>175</v>
      </c>
      <c r="E12" s="13" t="str">
        <f>'하나'!E39</f>
        <v>#REF!</v>
      </c>
      <c r="F12" s="12" t="s">
        <v>175</v>
      </c>
      <c r="G12" s="13" t="str">
        <f>'하나'!G39</f>
        <v>#REF!</v>
      </c>
      <c r="H12" s="12" t="s">
        <v>175</v>
      </c>
      <c r="I12" s="13" t="str">
        <f>'하나'!I39</f>
        <v>#REF!</v>
      </c>
      <c r="J12" s="12" t="s">
        <v>175</v>
      </c>
      <c r="K12" s="13" t="str">
        <f>'하나'!K39</f>
        <v>#REF!</v>
      </c>
      <c r="L12" s="12" t="s">
        <v>175</v>
      </c>
      <c r="M12" s="13" t="str">
        <f>'하나'!M39</f>
        <v>#REF!</v>
      </c>
      <c r="N12" s="12" t="s">
        <v>175</v>
      </c>
      <c r="O12" s="13" t="str">
        <f>'하나'!O39</f>
        <v>#REF!</v>
      </c>
      <c r="P12" s="12" t="s">
        <v>175</v>
      </c>
      <c r="Q12" s="13" t="str">
        <f>'하나'!Q39</f>
        <v>#REF!</v>
      </c>
      <c r="R12" s="12" t="s">
        <v>175</v>
      </c>
      <c r="S12" s="13" t="str">
        <f>'하나'!S39</f>
        <v>#REF!</v>
      </c>
      <c r="T12" s="12" t="s">
        <v>175</v>
      </c>
      <c r="U12" s="13" t="str">
        <f>'하나'!U39</f>
        <v>#REF!</v>
      </c>
      <c r="V12" s="12" t="s">
        <v>175</v>
      </c>
      <c r="W12" s="13" t="str">
        <f>'하나'!W39</f>
        <v>#REF!</v>
      </c>
      <c r="X12" s="12" t="s">
        <v>175</v>
      </c>
      <c r="Y12" s="13" t="str">
        <f>'하나'!Y39</f>
        <v>#REF!</v>
      </c>
      <c r="Z12" s="12" t="s">
        <v>175</v>
      </c>
      <c r="AA12" s="13" t="str">
        <f>'하나'!AA39</f>
        <v>#REF!</v>
      </c>
      <c r="AB12" s="12" t="s">
        <v>175</v>
      </c>
      <c r="AC12" s="13" t="str">
        <f>'하나'!AC39</f>
        <v>#REF!</v>
      </c>
      <c r="AD12" s="12" t="s">
        <v>175</v>
      </c>
      <c r="AE12" s="13" t="str">
        <f>'하나'!AE39</f>
        <v>#REF!</v>
      </c>
      <c r="AF12" s="12" t="s">
        <v>175</v>
      </c>
      <c r="AG12" s="13" t="str">
        <f>'하나'!AG39</f>
        <v>#REF!</v>
      </c>
      <c r="AH12" s="12" t="s">
        <v>175</v>
      </c>
      <c r="AI12" s="13" t="str">
        <f>'하나'!AI39</f>
        <v>#REF!</v>
      </c>
      <c r="AJ12" s="12" t="s">
        <v>175</v>
      </c>
      <c r="AK12" s="13" t="str">
        <f>'하나'!AK39</f>
        <v>#REF!</v>
      </c>
      <c r="AL12" s="12" t="s">
        <v>175</v>
      </c>
      <c r="AM12" s="13" t="str">
        <f>'하나'!AM39</f>
        <v>#REF!</v>
      </c>
      <c r="AN12" s="12" t="s">
        <v>175</v>
      </c>
      <c r="AO12" s="13" t="str">
        <f>'하나'!AO39</f>
        <v>#REF!</v>
      </c>
      <c r="AP12" s="12" t="s">
        <v>175</v>
      </c>
      <c r="AQ12" s="13" t="str">
        <f>'하나'!AQ39</f>
        <v>#REF!</v>
      </c>
    </row>
    <row r="13" ht="21.75" customHeight="1">
      <c r="A13" s="19"/>
      <c r="B13" s="12" t="s">
        <v>180</v>
      </c>
      <c r="C13" s="13">
        <f>'국민'!C39</f>
        <v>0</v>
      </c>
      <c r="D13" s="12" t="s">
        <v>180</v>
      </c>
      <c r="E13" s="13">
        <f>'국민'!E39</f>
        <v>216520</v>
      </c>
      <c r="F13" s="12" t="s">
        <v>180</v>
      </c>
      <c r="G13" s="13">
        <f>'국민'!G39</f>
        <v>0</v>
      </c>
      <c r="H13" s="12" t="s">
        <v>180</v>
      </c>
      <c r="I13" s="13">
        <f>'국민'!I39</f>
        <v>1587410</v>
      </c>
      <c r="J13" s="12" t="s">
        <v>180</v>
      </c>
      <c r="K13" s="13">
        <f>'국민'!K39</f>
        <v>-261060</v>
      </c>
      <c r="L13" s="12" t="s">
        <v>180</v>
      </c>
      <c r="M13" s="13">
        <f>'국민'!M39</f>
        <v>91264559</v>
      </c>
      <c r="N13" s="12" t="s">
        <v>180</v>
      </c>
      <c r="O13" s="13" t="str">
        <f>'국민'!O39</f>
        <v/>
      </c>
      <c r="P13" s="12" t="s">
        <v>180</v>
      </c>
      <c r="Q13" s="13">
        <f>'국민'!Q39</f>
        <v>450000</v>
      </c>
      <c r="R13" s="12" t="s">
        <v>180</v>
      </c>
      <c r="S13" s="13">
        <f>'국민'!S39</f>
        <v>6349370</v>
      </c>
      <c r="T13" s="12" t="s">
        <v>180</v>
      </c>
      <c r="U13" s="13">
        <f>'국민'!U39</f>
        <v>0</v>
      </c>
      <c r="V13" s="12" t="s">
        <v>180</v>
      </c>
      <c r="W13" s="13">
        <f>'국민'!W39</f>
        <v>26701610</v>
      </c>
      <c r="X13" s="12" t="s">
        <v>180</v>
      </c>
      <c r="Y13" s="13">
        <f>'국민'!Y39</f>
        <v>60000</v>
      </c>
      <c r="Z13" s="12" t="s">
        <v>180</v>
      </c>
      <c r="AA13" s="13">
        <f>'국민'!AA39</f>
        <v>14715740</v>
      </c>
      <c r="AB13" s="12" t="s">
        <v>180</v>
      </c>
      <c r="AC13" s="13">
        <f>'국민'!AC39</f>
        <v>0</v>
      </c>
      <c r="AD13" s="12" t="s">
        <v>180</v>
      </c>
      <c r="AE13" s="13">
        <f>'국민'!AE39</f>
        <v>-3054554</v>
      </c>
      <c r="AF13" s="12" t="s">
        <v>180</v>
      </c>
      <c r="AG13" s="13">
        <f>'국민'!AG39</f>
        <v>16845464</v>
      </c>
      <c r="AH13" s="12" t="s">
        <v>180</v>
      </c>
      <c r="AI13" s="13">
        <f>'국민'!AI39</f>
        <v>5000000</v>
      </c>
      <c r="AJ13" s="12" t="s">
        <v>180</v>
      </c>
      <c r="AK13" s="13">
        <f>'국민'!AK39</f>
        <v>0</v>
      </c>
      <c r="AL13" s="12" t="s">
        <v>180</v>
      </c>
      <c r="AM13" s="13">
        <f>'국민'!AM39</f>
        <v>0</v>
      </c>
      <c r="AN13" s="12" t="s">
        <v>180</v>
      </c>
      <c r="AO13" s="13">
        <f>'국민'!AO39</f>
        <v>20000</v>
      </c>
      <c r="AP13" s="12" t="s">
        <v>180</v>
      </c>
      <c r="AQ13" s="13">
        <f>'국민'!AQ39</f>
        <v>38650600</v>
      </c>
    </row>
    <row r="14" ht="21.75" customHeight="1">
      <c r="A14" s="19"/>
      <c r="B14" s="59"/>
      <c r="C14" s="60" t="str">
        <f>SUM(C12:C13)</f>
        <v>#REF!</v>
      </c>
      <c r="D14" s="59"/>
      <c r="E14" s="60" t="str">
        <f>SUM(E12:E13)</f>
        <v>#REF!</v>
      </c>
      <c r="F14" s="59"/>
      <c r="G14" s="60" t="str">
        <f>SUM(G12:G13)</f>
        <v>#REF!</v>
      </c>
      <c r="H14" s="59"/>
      <c r="I14" s="60" t="str">
        <f>SUM(I12:I13)</f>
        <v>#REF!</v>
      </c>
      <c r="J14" s="59"/>
      <c r="K14" s="60" t="str">
        <f>SUM(K12:K13)</f>
        <v>#REF!</v>
      </c>
      <c r="L14" s="59"/>
      <c r="M14" s="60" t="str">
        <f>SUM(M12:M13)</f>
        <v>#REF!</v>
      </c>
      <c r="N14" s="59"/>
      <c r="O14" s="60" t="str">
        <f>SUM(O12:O13)</f>
        <v>#REF!</v>
      </c>
      <c r="P14" s="59"/>
      <c r="Q14" s="60" t="str">
        <f>SUM(Q12:Q13)</f>
        <v>#REF!</v>
      </c>
      <c r="R14" s="59"/>
      <c r="S14" s="60" t="str">
        <f>SUM(S12:S13)</f>
        <v>#REF!</v>
      </c>
      <c r="T14" s="59"/>
      <c r="U14" s="60" t="str">
        <f>SUM(U12:U13)</f>
        <v>#REF!</v>
      </c>
      <c r="V14" s="59"/>
      <c r="W14" s="60" t="str">
        <f>SUM(W12:W13)</f>
        <v>#REF!</v>
      </c>
      <c r="X14" s="59"/>
      <c r="Y14" s="60" t="str">
        <f>SUM(Y12:Y13)</f>
        <v>#REF!</v>
      </c>
      <c r="Z14" s="59"/>
      <c r="AA14" s="60" t="str">
        <f>SUM(AA12:AA13)</f>
        <v>#REF!</v>
      </c>
      <c r="AB14" s="59"/>
      <c r="AC14" s="60" t="str">
        <f>SUM(AC12:AC13)</f>
        <v>#REF!</v>
      </c>
      <c r="AD14" s="59"/>
      <c r="AE14" s="60" t="str">
        <f>SUM(AE12:AE13)</f>
        <v>#REF!</v>
      </c>
      <c r="AF14" s="59"/>
      <c r="AG14" s="60" t="str">
        <f>SUM(AG12:AG13)</f>
        <v>#REF!</v>
      </c>
      <c r="AH14" s="59"/>
      <c r="AI14" s="60" t="str">
        <f>SUM(AI12:AI13)</f>
        <v>#REF!</v>
      </c>
      <c r="AJ14" s="59"/>
      <c r="AK14" s="60" t="str">
        <f>SUM(AK12:AK13)</f>
        <v>#REF!</v>
      </c>
      <c r="AL14" s="59"/>
      <c r="AM14" s="60" t="str">
        <f>SUM(AM12:AM13)</f>
        <v>#REF!</v>
      </c>
      <c r="AN14" s="59"/>
      <c r="AO14" s="60" t="str">
        <f>SUM(AO12:AO13)</f>
        <v>#REF!</v>
      </c>
      <c r="AP14" s="59"/>
      <c r="AQ14" s="60" t="str">
        <f>SUM(AQ12:AQ13)</f>
        <v>#REF!</v>
      </c>
    </row>
    <row r="15" ht="21.75" customHeight="1">
      <c r="A15" s="37"/>
      <c r="B15" s="61"/>
      <c r="C15" s="62" t="str">
        <f>C10+C11-C14</f>
        <v>#REF!</v>
      </c>
      <c r="D15" s="61"/>
      <c r="E15" s="62" t="str">
        <f>E10+E11-E14</f>
        <v>#REF!</v>
      </c>
      <c r="F15" s="61"/>
      <c r="G15" s="62" t="str">
        <f>G10+G11-G14</f>
        <v>#REF!</v>
      </c>
      <c r="H15" s="61"/>
      <c r="I15" s="62" t="str">
        <f>I10+I11-I14</f>
        <v>#REF!</v>
      </c>
      <c r="J15" s="61"/>
      <c r="K15" s="62" t="str">
        <f>K10+K11-K14</f>
        <v>#REF!</v>
      </c>
      <c r="L15" s="61"/>
      <c r="M15" s="62" t="str">
        <f>M10+M11-M14</f>
        <v>#REF!</v>
      </c>
      <c r="N15" s="61"/>
      <c r="O15" s="62" t="str">
        <f>O10+O11-O14</f>
        <v>#REF!</v>
      </c>
      <c r="P15" s="61"/>
      <c r="Q15" s="62" t="str">
        <f>Q10+Q11-Q14</f>
        <v>#REF!</v>
      </c>
      <c r="R15" s="61"/>
      <c r="S15" s="62" t="str">
        <f>S10+S11-S14</f>
        <v>#REF!</v>
      </c>
      <c r="T15" s="61"/>
      <c r="U15" s="62" t="str">
        <f>U10+U11-U14</f>
        <v>#REF!</v>
      </c>
      <c r="V15" s="61"/>
      <c r="W15" s="62" t="str">
        <f>W10+W11-W14</f>
        <v>#REF!</v>
      </c>
      <c r="X15" s="61"/>
      <c r="Y15" s="62" t="str">
        <f>Y10+Y11-Y14</f>
        <v>#REF!</v>
      </c>
      <c r="Z15" s="61"/>
      <c r="AA15" s="62" t="str">
        <f>AA10+AA11-AA14</f>
        <v>#REF!</v>
      </c>
      <c r="AB15" s="61"/>
      <c r="AC15" s="62" t="str">
        <f>AC10+AC11-AC14</f>
        <v>#REF!</v>
      </c>
      <c r="AD15" s="61"/>
      <c r="AE15" s="62" t="str">
        <f>AE10+AE11-AE14</f>
        <v>#REF!</v>
      </c>
      <c r="AF15" s="61"/>
      <c r="AG15" s="62" t="str">
        <f>AG10+AG11-AG14</f>
        <v>#REF!</v>
      </c>
      <c r="AH15" s="61"/>
      <c r="AI15" s="62" t="str">
        <f>AI10+AI11-AI14</f>
        <v>#REF!</v>
      </c>
      <c r="AJ15" s="61"/>
      <c r="AK15" s="62" t="str">
        <f>AK10+AK11-AK14</f>
        <v>#REF!</v>
      </c>
      <c r="AL15" s="61"/>
      <c r="AM15" s="62" t="str">
        <f>AM10+AM11-AM14</f>
        <v>#REF!</v>
      </c>
      <c r="AN15" s="61"/>
      <c r="AO15" s="62" t="str">
        <f>AO10+AO11-AO14</f>
        <v>#REF!</v>
      </c>
      <c r="AP15" s="61"/>
      <c r="AQ15" s="62" t="str">
        <f>AQ10+AQ11-AQ14</f>
        <v>#REF!</v>
      </c>
    </row>
    <row r="16" ht="16.5" customHeight="1"/>
    <row r="17" ht="30.0" customHeight="1">
      <c r="A17" s="76" t="s">
        <v>181</v>
      </c>
      <c r="B17" s="77"/>
      <c r="C17" s="78" t="str">
        <f>C8+C15</f>
        <v>#REF!</v>
      </c>
      <c r="D17" s="77"/>
      <c r="E17" s="78" t="str">
        <f>E8+E15</f>
        <v>#REF!</v>
      </c>
      <c r="F17" s="77"/>
      <c r="G17" s="78" t="str">
        <f>G8+G15</f>
        <v>#REF!</v>
      </c>
      <c r="H17" s="77"/>
      <c r="I17" s="78" t="str">
        <f>I8+I15</f>
        <v>#REF!</v>
      </c>
      <c r="J17" s="77"/>
      <c r="K17" s="78" t="str">
        <f>K8+K15</f>
        <v>#REF!</v>
      </c>
      <c r="L17" s="77"/>
      <c r="M17" s="78" t="str">
        <f>M8+M15</f>
        <v>#REF!</v>
      </c>
      <c r="N17" s="77"/>
      <c r="O17" s="78" t="str">
        <f>O8+O15</f>
        <v>#REF!</v>
      </c>
      <c r="P17" s="77"/>
      <c r="Q17" s="78" t="str">
        <f>Q8+Q15</f>
        <v>#REF!</v>
      </c>
      <c r="R17" s="77"/>
      <c r="S17" s="78" t="str">
        <f>S8+S15</f>
        <v>#REF!</v>
      </c>
      <c r="T17" s="77"/>
      <c r="U17" s="78" t="str">
        <f>U8+U15</f>
        <v>#REF!</v>
      </c>
      <c r="V17" s="77"/>
      <c r="W17" s="78" t="str">
        <f>W8+W15</f>
        <v>#REF!</v>
      </c>
      <c r="X17" s="77"/>
      <c r="Y17" s="78" t="str">
        <f>Y8+Y15</f>
        <v>#REF!</v>
      </c>
      <c r="Z17" s="77"/>
      <c r="AA17" s="78" t="str">
        <f>AA8+AA15</f>
        <v>#REF!</v>
      </c>
      <c r="AB17" s="77"/>
      <c r="AC17" s="78" t="str">
        <f>AC8+AC15</f>
        <v>#REF!</v>
      </c>
      <c r="AD17" s="77"/>
      <c r="AE17" s="78" t="str">
        <f>AE8+AE15</f>
        <v>#REF!</v>
      </c>
      <c r="AF17" s="77"/>
      <c r="AG17" s="78" t="str">
        <f>AG8+AG15</f>
        <v>#REF!</v>
      </c>
      <c r="AH17" s="77"/>
      <c r="AI17" s="78" t="str">
        <f>AI8+AI15</f>
        <v>#REF!</v>
      </c>
      <c r="AJ17" s="77"/>
      <c r="AK17" s="78" t="str">
        <f>AK8+AK15</f>
        <v>#REF!</v>
      </c>
      <c r="AL17" s="77"/>
      <c r="AM17" s="78" t="str">
        <f>AM8+AM15</f>
        <v>#REF!</v>
      </c>
      <c r="AN17" s="77"/>
      <c r="AO17" s="78" t="str">
        <f>AO8+AO15</f>
        <v>#REF!</v>
      </c>
      <c r="AP17" s="77"/>
      <c r="AQ17" s="78" t="str">
        <f>AQ8+AQ15</f>
        <v>#REF!</v>
      </c>
    </row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D2:AE2"/>
    <mergeCell ref="AF2:AG2"/>
    <mergeCell ref="AH2:AI2"/>
    <mergeCell ref="AJ2:AK2"/>
    <mergeCell ref="AL2:AM2"/>
    <mergeCell ref="AN2:AO2"/>
    <mergeCell ref="AP2:AQ2"/>
    <mergeCell ref="P2:Q2"/>
    <mergeCell ref="R2:S2"/>
    <mergeCell ref="T2:U2"/>
    <mergeCell ref="V2:W2"/>
    <mergeCell ref="X2:Y2"/>
    <mergeCell ref="Z2:AA2"/>
    <mergeCell ref="AB2:AC2"/>
    <mergeCell ref="A4:A8"/>
    <mergeCell ref="A10:A15"/>
    <mergeCell ref="B2:C2"/>
    <mergeCell ref="D2:E2"/>
    <mergeCell ref="F2:G2"/>
    <mergeCell ref="H2:I2"/>
    <mergeCell ref="J2:K2"/>
    <mergeCell ref="L2:M2"/>
    <mergeCell ref="N2:O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